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agustinsellanes/Repos/festuca_probabilistic_analysis/sources/"/>
    </mc:Choice>
  </mc:AlternateContent>
  <xr:revisionPtr revIDLastSave="0" documentId="13_ncr:1_{20B5EA05-00A0-1345-A614-ED4F4DA7CFAB}" xr6:coauthVersionLast="47" xr6:coauthVersionMax="47" xr10:uidLastSave="{00000000-0000-0000-0000-000000000000}"/>
  <bookViews>
    <workbookView xWindow="0" yWindow="660" windowWidth="30240" windowHeight="18980" activeTab="1" xr2:uid="{00000000-000D-0000-FFFF-FFFF00000000}"/>
  </bookViews>
  <sheets>
    <sheet name="Diseño" sheetId="1" r:id="rId1"/>
    <sheet name="Ensayo" sheetId="2" r:id="rId2"/>
    <sheet name="Manejo" sheetId="3" r:id="rId3"/>
    <sheet name="Datos_MS" sheetId="4" r:id="rId4"/>
    <sheet name="Datos_Rto" sheetId="5" r:id="rId5"/>
    <sheet name="Calidad" sheetId="6" r:id="rId6"/>
    <sheet name="Estimacion_M1R4_16set" sheetId="7" r:id="rId7"/>
  </sheets>
  <definedNames>
    <definedName name="_xlnm._FilterDatabase" localSheetId="3" hidden="1">Datos_MS!$A$5:$M$159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7" l="1"/>
  <c r="B7" i="7"/>
  <c r="B6" i="7"/>
  <c r="B5" i="7"/>
  <c r="B4" i="7"/>
  <c r="L53" i="5"/>
  <c r="L52" i="5"/>
  <c r="L51" i="5"/>
  <c r="L50" i="5"/>
  <c r="L49" i="5"/>
  <c r="L48" i="5"/>
  <c r="L47" i="5"/>
  <c r="L46" i="5"/>
  <c r="L45" i="5"/>
  <c r="L44" i="5"/>
  <c r="L43" i="5"/>
  <c r="L42" i="5"/>
  <c r="L41" i="5"/>
  <c r="L40" i="5"/>
  <c r="L39" i="5"/>
  <c r="L38" i="5"/>
  <c r="L37" i="5"/>
  <c r="L36" i="5"/>
  <c r="L35" i="5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M15" i="4"/>
  <c r="M14" i="4"/>
  <c r="M13" i="4"/>
  <c r="M12" i="4"/>
  <c r="M11" i="4"/>
  <c r="M10" i="4"/>
  <c r="M9" i="4"/>
  <c r="M8" i="4"/>
  <c r="M7" i="4"/>
  <c r="M6" i="4"/>
  <c r="H25" i="3"/>
  <c r="G25" i="3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4" i="6"/>
  <c r="L4" i="6"/>
  <c r="M3" i="6"/>
  <c r="L3" i="6"/>
  <c r="M2" i="6"/>
  <c r="L2" i="6"/>
  <c r="C23" i="7" l="1"/>
  <c r="C24" i="7" s="1"/>
  <c r="C16" i="7"/>
  <c r="F16" i="7"/>
  <c r="I28" i="6"/>
  <c r="C25" i="7"/>
  <c r="C22" i="7"/>
  <c r="L28" i="6"/>
  <c r="F18" i="7"/>
  <c r="K28" i="6"/>
  <c r="C18" i="7"/>
  <c r="M28" i="6"/>
  <c r="B30" i="7"/>
  <c r="E18" i="7"/>
  <c r="J28" i="6"/>
  <c r="C17" i="7"/>
  <c r="F17" i="7"/>
  <c r="D18" i="7"/>
  <c r="B29" i="7"/>
  <c r="E17" i="7"/>
  <c r="D17" i="7"/>
  <c r="D16" i="7"/>
  <c r="E1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M365 Copilot</author>
  </authors>
  <commentList>
    <comment ref="I28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Valor estimado o recalculado. Ver hoja Estimacion_M1R4_16set para todos los cálculos y fórmulas.</t>
        </r>
      </text>
    </comment>
    <comment ref="J28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Valor estimado o recalculado. Ver hoja Estimacion_M1R4_16set para todos los cálculos y fórmulas.</t>
        </r>
      </text>
    </comment>
    <comment ref="K28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Valor estimado o recalculado. Ver hoja Estimacion_M1R4_16set para todos los cálculos y fórmulas.</t>
        </r>
      </text>
    </comment>
    <comment ref="L28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Valor estimado o recalculado. Ver hoja Estimacion_M1R4_16set para todos los cálculos y fórmulas.</t>
        </r>
      </text>
    </comment>
    <comment ref="M28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Valor estimado o recalculado. Ver hoja Estimacion_M1R4_16set para todos los cálculos y fórmulas.</t>
        </r>
      </text>
    </comment>
    <comment ref="N28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Valor estimado o recalculado. Ver hoja Estimacion_M1R4_16set para todos los cálculos y fórmulas.</t>
        </r>
      </text>
    </comment>
  </commentList>
</comments>
</file>

<file path=xl/sharedStrings.xml><?xml version="1.0" encoding="utf-8"?>
<sst xmlns="http://schemas.openxmlformats.org/spreadsheetml/2006/main" count="1441" uniqueCount="176">
  <si>
    <t>CASAS</t>
  </si>
  <si>
    <t>Estacas</t>
  </si>
  <si>
    <t>Por ensayo</t>
  </si>
  <si>
    <t>N</t>
  </si>
  <si>
    <t>M1</t>
  </si>
  <si>
    <t>M0</t>
  </si>
  <si>
    <t>M5</t>
  </si>
  <si>
    <t>M4</t>
  </si>
  <si>
    <t>M3</t>
  </si>
  <si>
    <t>M2</t>
  </si>
  <si>
    <t>MO</t>
  </si>
  <si>
    <t>MOMENTOS DE FERTILIZACIÓN EN FASTUCA RIZAR</t>
  </si>
  <si>
    <t>Tratamiento</t>
  </si>
  <si>
    <t>Momento 1</t>
  </si>
  <si>
    <t>Momento 2</t>
  </si>
  <si>
    <t>_</t>
  </si>
  <si>
    <t xml:space="preserve">Productor: </t>
  </si>
  <si>
    <t>La favorita</t>
  </si>
  <si>
    <t>Festuca:</t>
  </si>
  <si>
    <t>Rizar</t>
  </si>
  <si>
    <t>Año de siembra:</t>
  </si>
  <si>
    <t>Ensayo:</t>
  </si>
  <si>
    <t>16-sep</t>
  </si>
  <si>
    <t>Dosis de Nitrógeno:</t>
  </si>
  <si>
    <t>kg N</t>
  </si>
  <si>
    <t>Aplicaciones:</t>
  </si>
  <si>
    <t>(100 c/u)</t>
  </si>
  <si>
    <t>Tamaño:</t>
  </si>
  <si>
    <t>m2</t>
  </si>
  <si>
    <t>ancho</t>
  </si>
  <si>
    <t>largo</t>
  </si>
  <si>
    <t>Repeticiones:</t>
  </si>
  <si>
    <t>Dosis/tratamiento</t>
  </si>
  <si>
    <t>kilos/trat</t>
  </si>
  <si>
    <t xml:space="preserve">UREA (46 Uni N) </t>
  </si>
  <si>
    <t>Kilos/ha</t>
  </si>
  <si>
    <t>Agenda Actividades</t>
  </si>
  <si>
    <t>Instalación ensayo, conteo de macollos, muestreo para materia seca, primera aplicación aplicación Momento 1</t>
  </si>
  <si>
    <t>Primera aplicación M2</t>
  </si>
  <si>
    <t>Primera aplicación M3</t>
  </si>
  <si>
    <t>Primera aplicación M4 y segunada aplicación M1 y M2</t>
  </si>
  <si>
    <t>Primera aplicación M5</t>
  </si>
  <si>
    <t>Segunda aplicaicón M4</t>
  </si>
  <si>
    <t>Segunda aplicaicón M5, cortes tratamientos para MS y Nitrógeno en Z31</t>
  </si>
  <si>
    <t>Cortes tratamiento para MS y Nitrógeno antesis</t>
  </si>
  <si>
    <t>Primer corte de Materia Seca</t>
  </si>
  <si>
    <t>Estado macollos a dar semilla:</t>
  </si>
  <si>
    <t>Nudos: 0-1-0-1-1-1-1-2-1-0</t>
  </si>
  <si>
    <t>Z3,08</t>
  </si>
  <si>
    <t>Análisis de Suelo</t>
  </si>
  <si>
    <t>P (ppm)</t>
  </si>
  <si>
    <t>K (meq)</t>
  </si>
  <si>
    <t>SB (%)</t>
  </si>
  <si>
    <t>MO (%)</t>
  </si>
  <si>
    <t>pH</t>
  </si>
  <si>
    <t>Calcio (meq)</t>
  </si>
  <si>
    <t>Magnesio (meq)</t>
  </si>
  <si>
    <t>Sodio</t>
  </si>
  <si>
    <t>Manejo 2025 (chacra)</t>
  </si>
  <si>
    <t>AGUA</t>
  </si>
  <si>
    <t>Mes</t>
  </si>
  <si>
    <t>Aplicación</t>
  </si>
  <si>
    <t>Riego</t>
  </si>
  <si>
    <t>Lluvia</t>
  </si>
  <si>
    <t>Enero</t>
  </si>
  <si>
    <t>Pastoreo rotativo en subpotreros de 50 ha, hasta cierre</t>
  </si>
  <si>
    <t>Febrero</t>
  </si>
  <si>
    <t>Marzo</t>
  </si>
  <si>
    <t>1,6 kg/ha Diuron 80%</t>
  </si>
  <si>
    <t>Abril</t>
  </si>
  <si>
    <t>150 kg/ha Urea Azufrada</t>
  </si>
  <si>
    <t>Mayo</t>
  </si>
  <si>
    <t>Junio</t>
  </si>
  <si>
    <t>Julio</t>
  </si>
  <si>
    <t>Agosto</t>
  </si>
  <si>
    <t>Setiembre</t>
  </si>
  <si>
    <t>Octubre</t>
  </si>
  <si>
    <t>Spireel protioconazol + trifloxistrobin 750 cc/ha. Rhino Clorantraniliprole 12 gr/ha</t>
  </si>
  <si>
    <t>Noviembre</t>
  </si>
  <si>
    <t>TOTAL</t>
  </si>
  <si>
    <t>LA FAVORITA</t>
  </si>
  <si>
    <t xml:space="preserve">Festuca </t>
  </si>
  <si>
    <t>RIZAR</t>
  </si>
  <si>
    <t>Distancia entre hileras</t>
  </si>
  <si>
    <t>Fecha</t>
  </si>
  <si>
    <t>Muestra</t>
  </si>
  <si>
    <t>Condición</t>
  </si>
  <si>
    <t>Repetición</t>
  </si>
  <si>
    <t>Macollos/30 cm</t>
  </si>
  <si>
    <t>Peso verde (1m)</t>
  </si>
  <si>
    <t>Peso verde (muestra)</t>
  </si>
  <si>
    <t>Banjeda</t>
  </si>
  <si>
    <t>Peso Seco</t>
  </si>
  <si>
    <t>%MS</t>
  </si>
  <si>
    <t>KgMS/ha</t>
  </si>
  <si>
    <t>Macollos/m2</t>
  </si>
  <si>
    <t>General</t>
  </si>
  <si>
    <t>R1</t>
  </si>
  <si>
    <t>R2</t>
  </si>
  <si>
    <t>R3</t>
  </si>
  <si>
    <t>R4</t>
  </si>
  <si>
    <t>R5</t>
  </si>
  <si>
    <t>Secano</t>
  </si>
  <si>
    <t>Tesis Emanuel/Serrana</t>
  </si>
  <si>
    <t>COMPONENTES RENDIMIENTO</t>
  </si>
  <si>
    <t>Corte de 2 metros (1 metro, 2 surcos)</t>
  </si>
  <si>
    <t xml:space="preserve">Distancia entre hileras: </t>
  </si>
  <si>
    <t>Variables a calcular</t>
  </si>
  <si>
    <t>Panojas/2m</t>
  </si>
  <si>
    <t>Peso sucio</t>
  </si>
  <si>
    <t>Peso limpio</t>
  </si>
  <si>
    <t>PMS</t>
  </si>
  <si>
    <t>PMSx</t>
  </si>
  <si>
    <t>Panojas/m2</t>
  </si>
  <si>
    <t>Rto.sucio (Kg/ha)</t>
  </si>
  <si>
    <t>Rto.limpio (kg/ha)</t>
  </si>
  <si>
    <t>Merma (%)</t>
  </si>
  <si>
    <t>Sem/panoja</t>
  </si>
  <si>
    <t>IC</t>
  </si>
  <si>
    <t>Clipper regulación</t>
  </si>
  <si>
    <t>Zarandas</t>
  </si>
  <si>
    <t>Blower</t>
  </si>
  <si>
    <t>REG. DE LAB.</t>
  </si>
  <si>
    <t>% N</t>
  </si>
  <si>
    <t xml:space="preserve">% FDA </t>
  </si>
  <si>
    <t xml:space="preserve">% FDN </t>
  </si>
  <si>
    <t>KgN/ha</t>
  </si>
  <si>
    <t>INN</t>
  </si>
  <si>
    <t>Origen del dato</t>
  </si>
  <si>
    <t>Medido</t>
  </si>
  <si>
    <t>Estimado por modelo</t>
  </si>
  <si>
    <t>Estimación de la muestra faltante: M1 - R4 - Secano - 16 de septiembre</t>
  </si>
  <si>
    <t>Parámetro</t>
  </si>
  <si>
    <t>Valor</t>
  </si>
  <si>
    <t>Descripción / cálculo</t>
  </si>
  <si>
    <t>Fecha de la unidad experimental faltante</t>
  </si>
  <si>
    <t>Condición hídrica</t>
  </si>
  <si>
    <t>Bloque o repetición</t>
  </si>
  <si>
    <t>Materia seca</t>
  </si>
  <si>
    <t>kg MS ha-1 medidos en la parcela</t>
  </si>
  <si>
    <t>Número de tratamientos (t)</t>
  </si>
  <si>
    <t>M0, M1, M2, M3, M4 y M5</t>
  </si>
  <si>
    <t>Número de bloques (r)</t>
  </si>
  <si>
    <t>R1, R2, R3 y R4</t>
  </si>
  <si>
    <t>Coeficiente curva crítica</t>
  </si>
  <si>
    <t>Nc = 4,8 x W^-0,32</t>
  </si>
  <si>
    <t>Exponente curva crítica</t>
  </si>
  <si>
    <t>W expresada en t MS ha-1</t>
  </si>
  <si>
    <t>Variable</t>
  </si>
  <si>
    <t>Columna origen</t>
  </si>
  <si>
    <t>B: total del bloque sin faltante</t>
  </si>
  <si>
    <t>T: total del tratamiento sin faltante</t>
  </si>
  <si>
    <t>G: total general sin faltante</t>
  </si>
  <si>
    <t>Estimación = (tB+rT-G)/((t-1)(r-1))</t>
  </si>
  <si>
    <t>N (%)</t>
  </si>
  <si>
    <t>I</t>
  </si>
  <si>
    <t>FDA (%)</t>
  </si>
  <si>
    <t>J</t>
  </si>
  <si>
    <t>FDN (%)</t>
  </si>
  <si>
    <t>K</t>
  </si>
  <si>
    <t>Variable derivada</t>
  </si>
  <si>
    <t>Fórmula</t>
  </si>
  <si>
    <t>Resultado</t>
  </si>
  <si>
    <t>N acumulado (kg N ha-1)</t>
  </si>
  <si>
    <t>MS x N (%) / 100</t>
  </si>
  <si>
    <t>Biomasa W (t MS ha-1)</t>
  </si>
  <si>
    <t>MS / 1000</t>
  </si>
  <si>
    <t>Concentración crítica Nc (%)</t>
  </si>
  <si>
    <t>4,8 x W^-0,32</t>
  </si>
  <si>
    <t>N (%) / Nc (%)</t>
  </si>
  <si>
    <t>Control de consistencia</t>
  </si>
  <si>
    <t>Kg N ha-1 estimado directamente con el modelo</t>
  </si>
  <si>
    <t>INN estimado directamente con el modelo</t>
  </si>
  <si>
    <t>Criterio utilizado</t>
  </si>
  <si>
    <t>%N, FDA y FDN se estiman con el modelo aditivo de bloques. Kg N ha-1 e INN se recalculan con las fórmulas agronómicas para mantener consistencia matemática.</t>
  </si>
  <si>
    <t>Fecha Cortes para MS y Nitrógeno y cortes para evaluación de componentes de rendimiento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</si>
</sst>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b/>
      <sz val="14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104861"/>
      <name val="Aptos Narrow"/>
      <family val="2"/>
    </font>
    <font>
      <b/>
      <sz val="12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7C7AC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E7E6E6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1" xfId="0" applyFont="1" applyBorder="1"/>
    <xf numFmtId="0" fontId="4" fillId="0" borderId="5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1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3" fontId="4" fillId="0" borderId="6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14" fontId="4" fillId="0" borderId="2" xfId="0" applyNumberFormat="1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0" borderId="0" xfId="0" applyFont="1"/>
    <xf numFmtId="0" fontId="4" fillId="0" borderId="0" xfId="0" applyFont="1"/>
    <xf numFmtId="0" fontId="7" fillId="0" borderId="6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7" fillId="3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6" fontId="10" fillId="4" borderId="1" xfId="0" applyNumberFormat="1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6" fontId="9" fillId="0" borderId="0" xfId="0" applyNumberFormat="1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2" fillId="3" borderId="0" xfId="0" applyFont="1" applyFill="1"/>
    <xf numFmtId="0" fontId="0" fillId="3" borderId="0" xfId="0" applyFill="1"/>
    <xf numFmtId="0" fontId="0" fillId="5" borderId="0" xfId="0" applyFill="1"/>
    <xf numFmtId="0" fontId="2" fillId="5" borderId="0" xfId="0" applyFont="1" applyFill="1"/>
    <xf numFmtId="0" fontId="2" fillId="6" borderId="0" xfId="0" applyFont="1" applyFill="1"/>
    <xf numFmtId="0" fontId="0" fillId="6" borderId="0" xfId="0" applyFill="1"/>
    <xf numFmtId="0" fontId="0" fillId="0" borderId="0" xfId="0" applyAlignment="1">
      <alignment vertical="top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3" fontId="4" fillId="2" borderId="6" xfId="0" applyNumberFormat="1" applyFont="1" applyFill="1" applyBorder="1" applyAlignment="1">
      <alignment horizontal="center"/>
    </xf>
    <xf numFmtId="3" fontId="4" fillId="0" borderId="5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165" fontId="14" fillId="8" borderId="1" xfId="0" applyNumberFormat="1" applyFont="1" applyFill="1" applyBorder="1"/>
    <xf numFmtId="165" fontId="14" fillId="8" borderId="1" xfId="0" applyNumberFormat="1" applyFont="1" applyFill="1" applyBorder="1" applyAlignment="1">
      <alignment horizontal="center"/>
    </xf>
    <xf numFmtId="2" fontId="14" fillId="8" borderId="1" xfId="0" applyNumberFormat="1" applyFont="1" applyFill="1" applyBorder="1" applyAlignment="1">
      <alignment horizontal="center"/>
    </xf>
    <xf numFmtId="0" fontId="15" fillId="7" borderId="0" xfId="0" applyFont="1" applyFill="1" applyAlignment="1">
      <alignment horizontal="center" wrapText="1"/>
    </xf>
    <xf numFmtId="0" fontId="0" fillId="9" borderId="0" xfId="0" applyFill="1"/>
    <xf numFmtId="0" fontId="0" fillId="10" borderId="0" xfId="0" applyFill="1"/>
    <xf numFmtId="0" fontId="16" fillId="8" borderId="0" xfId="0" applyFont="1" applyFill="1"/>
    <xf numFmtId="0" fontId="10" fillId="0" borderId="1" xfId="0" applyFont="1" applyBorder="1" applyAlignment="1">
      <alignment horizontal="center" vertical="center"/>
    </xf>
    <xf numFmtId="0" fontId="0" fillId="0" borderId="13" xfId="0" applyBorder="1"/>
    <xf numFmtId="0" fontId="0" fillId="0" borderId="4" xfId="0" applyBorder="1"/>
    <xf numFmtId="0" fontId="0" fillId="0" borderId="12" xfId="0" applyBorder="1"/>
    <xf numFmtId="0" fontId="0" fillId="0" borderId="5" xfId="0" applyBorder="1"/>
    <xf numFmtId="0" fontId="10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/>
    <xf numFmtId="0" fontId="0" fillId="0" borderId="0" xfId="0" applyAlignment="1">
      <alignment horizontal="left" wrapText="1"/>
    </xf>
    <xf numFmtId="0" fontId="4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vertical="top" wrapText="1"/>
    </xf>
    <xf numFmtId="0" fontId="13" fillId="7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workbookViewId="0">
      <selection activeCell="I7" sqref="I7"/>
    </sheetView>
  </sheetViews>
  <sheetFormatPr baseColWidth="10" defaultColWidth="11.5" defaultRowHeight="15" x14ac:dyDescent="0.2"/>
  <sheetData>
    <row r="1" spans="1:8" x14ac:dyDescent="0.2">
      <c r="A1" s="57" t="s">
        <v>0</v>
      </c>
      <c r="B1" s="58"/>
      <c r="C1" s="58"/>
      <c r="D1" s="58"/>
      <c r="E1" s="58" t="s">
        <v>1</v>
      </c>
      <c r="F1" s="59">
        <v>60</v>
      </c>
      <c r="G1" s="58" t="s">
        <v>2</v>
      </c>
      <c r="H1" s="58"/>
    </row>
    <row r="2" spans="1:8" x14ac:dyDescent="0.2">
      <c r="A2" s="58"/>
      <c r="B2" s="58"/>
      <c r="C2" s="58"/>
      <c r="D2" s="58"/>
      <c r="E2" s="58"/>
      <c r="F2" s="58"/>
      <c r="G2" s="58"/>
      <c r="H2" s="58"/>
    </row>
    <row r="3" spans="1:8" x14ac:dyDescent="0.2">
      <c r="A3" s="58"/>
      <c r="B3" s="58"/>
      <c r="C3" s="58"/>
      <c r="D3" s="58"/>
      <c r="E3" s="58"/>
      <c r="F3" s="58"/>
      <c r="G3" s="58"/>
      <c r="H3" s="58"/>
    </row>
    <row r="4" spans="1:8" x14ac:dyDescent="0.2">
      <c r="A4" s="58"/>
      <c r="B4" s="58"/>
      <c r="C4" s="58"/>
      <c r="D4" s="58"/>
      <c r="E4" s="58"/>
      <c r="F4" s="58"/>
      <c r="G4" s="58"/>
      <c r="H4" s="58"/>
    </row>
    <row r="5" spans="1:8" x14ac:dyDescent="0.2">
      <c r="A5" s="58"/>
      <c r="B5" s="58"/>
      <c r="C5" s="95"/>
      <c r="D5" s="91"/>
      <c r="E5" s="91"/>
      <c r="F5" s="91"/>
      <c r="G5" s="91"/>
      <c r="H5" s="92"/>
    </row>
    <row r="6" spans="1:8" x14ac:dyDescent="0.2">
      <c r="A6" s="60" t="s">
        <v>3</v>
      </c>
      <c r="B6" s="58"/>
      <c r="C6" s="90" t="s">
        <v>4</v>
      </c>
      <c r="D6" s="90" t="s">
        <v>5</v>
      </c>
      <c r="E6" s="90" t="s">
        <v>6</v>
      </c>
      <c r="F6" s="90" t="s">
        <v>7</v>
      </c>
      <c r="G6" s="90" t="s">
        <v>8</v>
      </c>
      <c r="H6" s="90" t="s">
        <v>9</v>
      </c>
    </row>
    <row r="7" spans="1:8" x14ac:dyDescent="0.2">
      <c r="A7" s="58"/>
      <c r="B7" s="58"/>
      <c r="C7" s="93"/>
      <c r="D7" s="93"/>
      <c r="E7" s="93"/>
      <c r="F7" s="93"/>
      <c r="G7" s="93"/>
      <c r="H7" s="93"/>
    </row>
    <row r="8" spans="1:8" x14ac:dyDescent="0.2">
      <c r="A8" s="58"/>
      <c r="B8" s="58"/>
      <c r="C8" s="93"/>
      <c r="D8" s="93"/>
      <c r="E8" s="93"/>
      <c r="F8" s="93"/>
      <c r="G8" s="93"/>
      <c r="H8" s="93"/>
    </row>
    <row r="9" spans="1:8" x14ac:dyDescent="0.2">
      <c r="A9" s="58"/>
      <c r="B9" s="58"/>
      <c r="C9" s="93"/>
      <c r="D9" s="93"/>
      <c r="E9" s="93"/>
      <c r="F9" s="93"/>
      <c r="G9" s="93"/>
      <c r="H9" s="93"/>
    </row>
    <row r="10" spans="1:8" x14ac:dyDescent="0.2">
      <c r="A10" s="58"/>
      <c r="B10" s="58"/>
      <c r="C10" s="93"/>
      <c r="D10" s="93"/>
      <c r="E10" s="93"/>
      <c r="F10" s="93"/>
      <c r="G10" s="93"/>
      <c r="H10" s="93"/>
    </row>
    <row r="11" spans="1:8" x14ac:dyDescent="0.2">
      <c r="A11" s="58"/>
      <c r="B11" s="58"/>
      <c r="C11" s="94"/>
      <c r="D11" s="94"/>
      <c r="E11" s="94"/>
      <c r="F11" s="94"/>
      <c r="G11" s="94"/>
      <c r="H11" s="94"/>
    </row>
    <row r="12" spans="1:8" x14ac:dyDescent="0.2">
      <c r="A12" s="61"/>
      <c r="B12" s="58"/>
      <c r="C12" s="90"/>
      <c r="D12" s="91"/>
      <c r="E12" s="91"/>
      <c r="F12" s="91"/>
      <c r="G12" s="91"/>
      <c r="H12" s="92"/>
    </row>
    <row r="13" spans="1:8" x14ac:dyDescent="0.2">
      <c r="A13" s="58"/>
      <c r="B13" s="58"/>
      <c r="C13" s="90" t="s">
        <v>8</v>
      </c>
      <c r="D13" s="90" t="s">
        <v>7</v>
      </c>
      <c r="E13" s="90" t="s">
        <v>5</v>
      </c>
      <c r="F13" s="90" t="s">
        <v>4</v>
      </c>
      <c r="G13" s="90" t="s">
        <v>6</v>
      </c>
      <c r="H13" s="90" t="s">
        <v>9</v>
      </c>
    </row>
    <row r="14" spans="1:8" x14ac:dyDescent="0.2">
      <c r="A14" s="58"/>
      <c r="B14" s="58"/>
      <c r="C14" s="93"/>
      <c r="D14" s="93"/>
      <c r="E14" s="93"/>
      <c r="F14" s="93"/>
      <c r="G14" s="93"/>
      <c r="H14" s="93"/>
    </row>
    <row r="15" spans="1:8" x14ac:dyDescent="0.2">
      <c r="A15" s="58"/>
      <c r="B15" s="58"/>
      <c r="C15" s="93"/>
      <c r="D15" s="93"/>
      <c r="E15" s="93"/>
      <c r="F15" s="93"/>
      <c r="G15" s="93"/>
      <c r="H15" s="93"/>
    </row>
    <row r="16" spans="1:8" x14ac:dyDescent="0.2">
      <c r="A16" s="58"/>
      <c r="B16" s="58"/>
      <c r="C16" s="93"/>
      <c r="D16" s="93"/>
      <c r="E16" s="93"/>
      <c r="F16" s="93"/>
      <c r="G16" s="93"/>
      <c r="H16" s="93"/>
    </row>
    <row r="17" spans="1:8" x14ac:dyDescent="0.2">
      <c r="A17" s="58"/>
      <c r="B17" s="58"/>
      <c r="C17" s="93"/>
      <c r="D17" s="93"/>
      <c r="E17" s="93"/>
      <c r="F17" s="93"/>
      <c r="G17" s="93"/>
      <c r="H17" s="93"/>
    </row>
    <row r="18" spans="1:8" x14ac:dyDescent="0.2">
      <c r="A18" s="58"/>
      <c r="B18" s="58"/>
      <c r="C18" s="94"/>
      <c r="D18" s="94"/>
      <c r="E18" s="94"/>
      <c r="F18" s="94"/>
      <c r="G18" s="94"/>
      <c r="H18" s="94"/>
    </row>
    <row r="19" spans="1:8" x14ac:dyDescent="0.2">
      <c r="A19" s="58"/>
      <c r="B19" s="58"/>
      <c r="C19" s="90"/>
      <c r="D19" s="91"/>
      <c r="E19" s="91"/>
      <c r="F19" s="91"/>
      <c r="G19" s="91"/>
      <c r="H19" s="92"/>
    </row>
    <row r="20" spans="1:8" x14ac:dyDescent="0.2">
      <c r="A20" s="58"/>
      <c r="B20" s="58"/>
      <c r="C20" s="90" t="s">
        <v>8</v>
      </c>
      <c r="D20" s="90" t="s">
        <v>9</v>
      </c>
      <c r="E20" s="90" t="s">
        <v>7</v>
      </c>
      <c r="F20" s="90" t="s">
        <v>5</v>
      </c>
      <c r="G20" s="90" t="s">
        <v>4</v>
      </c>
      <c r="H20" s="90" t="s">
        <v>6</v>
      </c>
    </row>
    <row r="21" spans="1:8" x14ac:dyDescent="0.2">
      <c r="A21" s="58"/>
      <c r="B21" s="58"/>
      <c r="C21" s="93"/>
      <c r="D21" s="93"/>
      <c r="E21" s="93"/>
      <c r="F21" s="93"/>
      <c r="G21" s="93"/>
      <c r="H21" s="93"/>
    </row>
    <row r="22" spans="1:8" x14ac:dyDescent="0.2">
      <c r="A22" s="58"/>
      <c r="B22" s="58"/>
      <c r="C22" s="93"/>
      <c r="D22" s="93"/>
      <c r="E22" s="93"/>
      <c r="F22" s="93"/>
      <c r="G22" s="93"/>
      <c r="H22" s="93"/>
    </row>
    <row r="23" spans="1:8" x14ac:dyDescent="0.2">
      <c r="A23" s="58"/>
      <c r="B23" s="58"/>
      <c r="C23" s="93"/>
      <c r="D23" s="93"/>
      <c r="E23" s="93"/>
      <c r="F23" s="93"/>
      <c r="G23" s="93"/>
      <c r="H23" s="93"/>
    </row>
    <row r="24" spans="1:8" x14ac:dyDescent="0.2">
      <c r="A24" s="58"/>
      <c r="B24" s="58"/>
      <c r="C24" s="93"/>
      <c r="D24" s="93"/>
      <c r="E24" s="93"/>
      <c r="F24" s="93"/>
      <c r="G24" s="93"/>
      <c r="H24" s="93"/>
    </row>
    <row r="25" spans="1:8" x14ac:dyDescent="0.2">
      <c r="A25" s="58"/>
      <c r="B25" s="58"/>
      <c r="C25" s="94"/>
      <c r="D25" s="94"/>
      <c r="E25" s="94"/>
      <c r="F25" s="94"/>
      <c r="G25" s="94"/>
      <c r="H25" s="94"/>
    </row>
    <row r="26" spans="1:8" x14ac:dyDescent="0.2">
      <c r="A26" s="58"/>
      <c r="B26" s="58"/>
      <c r="C26" s="90"/>
      <c r="D26" s="91"/>
      <c r="E26" s="91"/>
      <c r="F26" s="91"/>
      <c r="G26" s="91"/>
      <c r="H26" s="92"/>
    </row>
    <row r="27" spans="1:8" x14ac:dyDescent="0.2">
      <c r="A27" s="58"/>
      <c r="B27" s="58"/>
      <c r="C27" s="90" t="s">
        <v>10</v>
      </c>
      <c r="D27" s="90" t="s">
        <v>4</v>
      </c>
      <c r="E27" s="90" t="s">
        <v>9</v>
      </c>
      <c r="F27" s="90" t="s">
        <v>8</v>
      </c>
      <c r="G27" s="90" t="s">
        <v>7</v>
      </c>
      <c r="H27" s="90" t="s">
        <v>6</v>
      </c>
    </row>
    <row r="28" spans="1:8" x14ac:dyDescent="0.2">
      <c r="A28" s="58"/>
      <c r="B28" s="58"/>
      <c r="C28" s="93"/>
      <c r="D28" s="93"/>
      <c r="E28" s="93"/>
      <c r="F28" s="93"/>
      <c r="G28" s="93"/>
      <c r="H28" s="93"/>
    </row>
    <row r="29" spans="1:8" x14ac:dyDescent="0.2">
      <c r="A29" s="58"/>
      <c r="B29" s="58"/>
      <c r="C29" s="93"/>
      <c r="D29" s="93"/>
      <c r="E29" s="93"/>
      <c r="F29" s="93"/>
      <c r="G29" s="93"/>
      <c r="H29" s="93"/>
    </row>
    <row r="30" spans="1:8" x14ac:dyDescent="0.2">
      <c r="A30" s="58"/>
      <c r="B30" s="58"/>
      <c r="C30" s="93"/>
      <c r="D30" s="93"/>
      <c r="E30" s="93"/>
      <c r="F30" s="93"/>
      <c r="G30" s="93"/>
      <c r="H30" s="93"/>
    </row>
    <row r="31" spans="1:8" x14ac:dyDescent="0.2">
      <c r="A31" s="58"/>
      <c r="B31" s="58"/>
      <c r="C31" s="93"/>
      <c r="D31" s="93"/>
      <c r="E31" s="93"/>
      <c r="F31" s="93"/>
      <c r="G31" s="93"/>
      <c r="H31" s="93"/>
    </row>
    <row r="32" spans="1:8" x14ac:dyDescent="0.2">
      <c r="A32" s="58"/>
      <c r="B32" s="58"/>
      <c r="C32" s="94"/>
      <c r="D32" s="94"/>
      <c r="E32" s="94"/>
      <c r="F32" s="94"/>
      <c r="G32" s="94"/>
      <c r="H32" s="94"/>
    </row>
    <row r="33" spans="1:8" x14ac:dyDescent="0.2">
      <c r="A33" s="58"/>
      <c r="B33" s="58"/>
      <c r="C33" s="90"/>
      <c r="D33" s="91"/>
      <c r="E33" s="91"/>
      <c r="F33" s="91"/>
      <c r="G33" s="91"/>
      <c r="H33" s="92"/>
    </row>
  </sheetData>
  <mergeCells count="29">
    <mergeCell ref="C6:C11"/>
    <mergeCell ref="D6:D11"/>
    <mergeCell ref="F6:F11"/>
    <mergeCell ref="C12:H12"/>
    <mergeCell ref="H6:H11"/>
    <mergeCell ref="E6:E11"/>
    <mergeCell ref="G6:G11"/>
    <mergeCell ref="D13:D18"/>
    <mergeCell ref="C27:C32"/>
    <mergeCell ref="F13:F18"/>
    <mergeCell ref="E27:E32"/>
    <mergeCell ref="H13:H18"/>
    <mergeCell ref="H20:H25"/>
    <mergeCell ref="C33:H33"/>
    <mergeCell ref="F27:F32"/>
    <mergeCell ref="H27:H32"/>
    <mergeCell ref="G20:G25"/>
    <mergeCell ref="C5:H5"/>
    <mergeCell ref="D20:D25"/>
    <mergeCell ref="C26:H26"/>
    <mergeCell ref="C13:C18"/>
    <mergeCell ref="G27:G32"/>
    <mergeCell ref="D27:D32"/>
    <mergeCell ref="C20:C25"/>
    <mergeCell ref="E13:E18"/>
    <mergeCell ref="E20:E25"/>
    <mergeCell ref="G13:G18"/>
    <mergeCell ref="F20:F25"/>
    <mergeCell ref="C19:H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tabSelected="1" zoomScale="170" zoomScaleNormal="170" workbookViewId="0">
      <selection activeCell="H11" sqref="H11"/>
    </sheetView>
  </sheetViews>
  <sheetFormatPr baseColWidth="10" defaultColWidth="11.5" defaultRowHeight="15" x14ac:dyDescent="0.2"/>
  <sheetData>
    <row r="1" spans="1:8" x14ac:dyDescent="0.2">
      <c r="A1" s="57" t="s">
        <v>11</v>
      </c>
      <c r="B1" s="58"/>
      <c r="C1" s="58"/>
      <c r="D1" s="58"/>
      <c r="E1" s="58"/>
      <c r="F1" s="62" t="s">
        <v>12</v>
      </c>
      <c r="G1" s="62" t="s">
        <v>13</v>
      </c>
      <c r="H1" s="62" t="s">
        <v>14</v>
      </c>
    </row>
    <row r="2" spans="1:8" x14ac:dyDescent="0.2">
      <c r="A2" s="58"/>
      <c r="B2" s="58"/>
      <c r="C2" s="58"/>
      <c r="D2" s="58"/>
      <c r="E2" s="58"/>
      <c r="F2" s="63" t="s">
        <v>5</v>
      </c>
      <c r="G2" s="63" t="s">
        <v>15</v>
      </c>
      <c r="H2" s="63" t="s">
        <v>15</v>
      </c>
    </row>
    <row r="3" spans="1:8" x14ac:dyDescent="0.2">
      <c r="A3" s="58" t="s">
        <v>16</v>
      </c>
      <c r="B3" s="61" t="s">
        <v>17</v>
      </c>
      <c r="C3" s="58"/>
      <c r="D3" s="58"/>
      <c r="E3" s="58"/>
      <c r="F3" s="63" t="s">
        <v>4</v>
      </c>
      <c r="G3" s="64">
        <v>45820</v>
      </c>
      <c r="H3" s="64">
        <v>45873</v>
      </c>
    </row>
    <row r="4" spans="1:8" x14ac:dyDescent="0.2">
      <c r="A4" s="58" t="s">
        <v>18</v>
      </c>
      <c r="B4" s="61" t="s">
        <v>19</v>
      </c>
      <c r="C4" s="58"/>
      <c r="D4" s="58"/>
      <c r="E4" s="58"/>
      <c r="F4" s="63" t="s">
        <v>9</v>
      </c>
      <c r="G4" s="64">
        <v>45835</v>
      </c>
      <c r="H4" s="64">
        <v>45873</v>
      </c>
    </row>
    <row r="5" spans="1:8" x14ac:dyDescent="0.2">
      <c r="A5" s="58" t="s">
        <v>20</v>
      </c>
      <c r="B5" s="61">
        <v>2023</v>
      </c>
      <c r="C5" s="58"/>
      <c r="D5" s="58"/>
      <c r="E5" s="58"/>
      <c r="F5" s="63" t="s">
        <v>8</v>
      </c>
      <c r="G5" s="64">
        <v>45847</v>
      </c>
      <c r="H5" s="64">
        <v>45890</v>
      </c>
    </row>
    <row r="6" spans="1:8" x14ac:dyDescent="0.2">
      <c r="A6" s="58" t="s">
        <v>21</v>
      </c>
      <c r="B6" s="58">
        <v>2025</v>
      </c>
      <c r="C6" s="58"/>
      <c r="D6" s="58"/>
      <c r="E6" s="58"/>
      <c r="F6" s="63" t="s">
        <v>7</v>
      </c>
      <c r="G6" s="64">
        <v>45873</v>
      </c>
      <c r="H6" s="64">
        <v>45916</v>
      </c>
    </row>
    <row r="7" spans="1:8" x14ac:dyDescent="0.2">
      <c r="A7" s="58"/>
      <c r="B7" s="58"/>
      <c r="C7" s="58"/>
      <c r="D7" s="58"/>
      <c r="E7" s="58"/>
      <c r="F7" s="63" t="s">
        <v>6</v>
      </c>
      <c r="G7" s="64">
        <v>45894</v>
      </c>
      <c r="H7" s="65" t="s">
        <v>22</v>
      </c>
    </row>
    <row r="8" spans="1:8" x14ac:dyDescent="0.2">
      <c r="A8" s="58" t="s">
        <v>23</v>
      </c>
      <c r="B8" s="58">
        <v>200</v>
      </c>
      <c r="C8" s="58" t="s">
        <v>24</v>
      </c>
      <c r="D8" s="58"/>
      <c r="E8" s="58"/>
      <c r="F8" s="58"/>
      <c r="G8" s="58"/>
      <c r="H8" s="58"/>
    </row>
    <row r="9" spans="1:8" x14ac:dyDescent="0.2">
      <c r="A9" s="58" t="s">
        <v>25</v>
      </c>
      <c r="B9" s="58">
        <v>2</v>
      </c>
      <c r="C9" s="58" t="s">
        <v>26</v>
      </c>
      <c r="D9" s="58"/>
      <c r="E9" s="58"/>
      <c r="F9" s="58"/>
      <c r="G9" s="58"/>
      <c r="H9" s="58"/>
    </row>
    <row r="10" spans="1:8" x14ac:dyDescent="0.2">
      <c r="A10" s="58" t="s">
        <v>27</v>
      </c>
      <c r="B10" s="58">
        <v>24</v>
      </c>
      <c r="C10" s="58" t="s">
        <v>28</v>
      </c>
      <c r="D10" s="58"/>
      <c r="E10" s="58"/>
      <c r="F10" s="58"/>
      <c r="G10" s="58"/>
      <c r="H10" s="58"/>
    </row>
    <row r="11" spans="1:8" x14ac:dyDescent="0.2">
      <c r="A11" s="61" t="s">
        <v>29</v>
      </c>
      <c r="B11" s="58">
        <v>4</v>
      </c>
      <c r="C11" s="58"/>
      <c r="D11" s="58"/>
      <c r="E11" s="58"/>
      <c r="F11" s="58"/>
      <c r="G11" s="58"/>
      <c r="H11" s="58"/>
    </row>
    <row r="12" spans="1:8" x14ac:dyDescent="0.2">
      <c r="A12" s="61" t="s">
        <v>30</v>
      </c>
      <c r="B12" s="58">
        <v>6</v>
      </c>
      <c r="C12" s="58"/>
      <c r="D12" s="58"/>
      <c r="E12" s="58"/>
      <c r="F12" s="58"/>
      <c r="G12" s="58"/>
      <c r="H12" s="58"/>
    </row>
    <row r="13" spans="1:8" x14ac:dyDescent="0.2">
      <c r="A13" s="58" t="s">
        <v>31</v>
      </c>
      <c r="B13" s="58">
        <v>4</v>
      </c>
      <c r="C13" s="58"/>
      <c r="D13" s="58"/>
      <c r="E13" s="58"/>
      <c r="F13" s="58"/>
      <c r="G13" s="58"/>
      <c r="H13" s="58"/>
    </row>
    <row r="14" spans="1:8" x14ac:dyDescent="0.2">
      <c r="A14" s="58" t="s">
        <v>32</v>
      </c>
      <c r="B14" s="58">
        <v>0.52200000000000002</v>
      </c>
      <c r="C14" s="58" t="s">
        <v>33</v>
      </c>
      <c r="D14" s="58"/>
      <c r="E14" s="58"/>
      <c r="F14" s="58"/>
      <c r="G14" s="58"/>
      <c r="H14" s="58"/>
    </row>
    <row r="15" spans="1:8" x14ac:dyDescent="0.2">
      <c r="A15" s="58" t="s">
        <v>34</v>
      </c>
      <c r="B15" s="58">
        <v>217</v>
      </c>
      <c r="C15" s="58" t="s">
        <v>35</v>
      </c>
      <c r="D15" s="58"/>
      <c r="E15" s="58"/>
      <c r="F15" s="58"/>
      <c r="G15" s="58"/>
      <c r="H15" s="58"/>
    </row>
    <row r="16" spans="1:8" x14ac:dyDescent="0.2">
      <c r="A16" s="58"/>
      <c r="B16" s="58"/>
      <c r="C16" s="58"/>
      <c r="D16" s="58"/>
      <c r="E16" s="58"/>
      <c r="F16" s="58"/>
      <c r="G16" s="58"/>
      <c r="H16" s="58"/>
    </row>
    <row r="17" spans="1:8" x14ac:dyDescent="0.2">
      <c r="A17" s="58"/>
      <c r="B17" s="58"/>
      <c r="C17" s="58"/>
      <c r="D17" s="58"/>
      <c r="E17" s="58"/>
      <c r="F17" s="58"/>
      <c r="G17" s="58"/>
      <c r="H17" s="58"/>
    </row>
    <row r="18" spans="1:8" x14ac:dyDescent="0.2">
      <c r="A18" s="57" t="s">
        <v>36</v>
      </c>
      <c r="B18" s="58"/>
      <c r="C18" s="58"/>
      <c r="D18" s="58"/>
      <c r="E18" s="58"/>
      <c r="F18" s="58"/>
      <c r="G18" s="58"/>
      <c r="H18" s="58"/>
    </row>
    <row r="19" spans="1:8" x14ac:dyDescent="0.2">
      <c r="A19" s="64">
        <v>45820</v>
      </c>
      <c r="B19" s="58" t="s">
        <v>37</v>
      </c>
      <c r="C19" s="58"/>
      <c r="D19" s="58"/>
      <c r="E19" s="58"/>
      <c r="F19" s="58"/>
      <c r="G19" s="58"/>
      <c r="H19" s="58"/>
    </row>
    <row r="20" spans="1:8" x14ac:dyDescent="0.2">
      <c r="A20" s="64">
        <v>45835</v>
      </c>
      <c r="B20" s="58" t="s">
        <v>38</v>
      </c>
      <c r="C20" s="58"/>
      <c r="D20" s="58"/>
      <c r="E20" s="58"/>
      <c r="F20" s="58"/>
      <c r="G20" s="58"/>
      <c r="H20" s="58"/>
    </row>
    <row r="21" spans="1:8" x14ac:dyDescent="0.2">
      <c r="A21" s="64">
        <v>45847</v>
      </c>
      <c r="B21" s="58" t="s">
        <v>39</v>
      </c>
      <c r="C21" s="58"/>
      <c r="D21" s="58"/>
      <c r="E21" s="58"/>
      <c r="F21" s="58"/>
      <c r="G21" s="58"/>
      <c r="H21" s="58"/>
    </row>
    <row r="22" spans="1:8" x14ac:dyDescent="0.2">
      <c r="A22" s="64">
        <v>45873</v>
      </c>
      <c r="B22" s="58" t="s">
        <v>40</v>
      </c>
      <c r="C22" s="58"/>
      <c r="D22" s="58"/>
      <c r="E22" s="58"/>
      <c r="F22" s="58"/>
      <c r="G22" s="58"/>
      <c r="H22" s="58"/>
    </row>
    <row r="23" spans="1:8" x14ac:dyDescent="0.2">
      <c r="A23" s="64">
        <v>45894</v>
      </c>
      <c r="B23" s="58" t="s">
        <v>41</v>
      </c>
      <c r="C23" s="58"/>
      <c r="D23" s="58"/>
      <c r="E23" s="58"/>
      <c r="F23" s="58"/>
      <c r="G23" s="58"/>
      <c r="H23" s="58"/>
    </row>
    <row r="24" spans="1:8" x14ac:dyDescent="0.2">
      <c r="A24" s="64">
        <v>45916</v>
      </c>
      <c r="B24" s="58" t="s">
        <v>42</v>
      </c>
      <c r="C24" s="58"/>
      <c r="D24" s="58"/>
      <c r="E24" s="58"/>
      <c r="F24" s="58"/>
      <c r="G24" s="58"/>
      <c r="H24" s="58"/>
    </row>
    <row r="25" spans="1:8" x14ac:dyDescent="0.2">
      <c r="A25" s="64">
        <v>45916</v>
      </c>
      <c r="B25" s="58" t="s">
        <v>43</v>
      </c>
      <c r="C25" s="58"/>
      <c r="D25" s="58"/>
      <c r="E25" s="58"/>
      <c r="F25" s="58"/>
      <c r="G25" s="58"/>
      <c r="H25" s="58"/>
    </row>
    <row r="26" spans="1:8" x14ac:dyDescent="0.2">
      <c r="A26" s="66">
        <v>45950</v>
      </c>
      <c r="B26" s="58" t="s">
        <v>44</v>
      </c>
      <c r="C26" s="58"/>
      <c r="D26" s="58"/>
      <c r="E26" s="58"/>
      <c r="F26" s="58"/>
      <c r="G26" s="58"/>
      <c r="H26" s="58"/>
    </row>
    <row r="27" spans="1:8" x14ac:dyDescent="0.2">
      <c r="A27" s="66">
        <v>45973</v>
      </c>
      <c r="B27" s="58" t="s">
        <v>175</v>
      </c>
      <c r="C27" s="58"/>
      <c r="D27" s="58"/>
      <c r="E27" s="58"/>
      <c r="F27" s="58"/>
      <c r="G27" s="58"/>
      <c r="H27" s="58"/>
    </row>
    <row r="28" spans="1:8" x14ac:dyDescent="0.2">
      <c r="A28" s="58"/>
      <c r="B28" s="58"/>
      <c r="D28" s="58"/>
      <c r="E28" s="58"/>
      <c r="F28" s="58"/>
      <c r="G28" s="58"/>
      <c r="H28" s="58"/>
    </row>
    <row r="29" spans="1:8" x14ac:dyDescent="0.2">
      <c r="A29" s="58"/>
      <c r="B29" s="58"/>
      <c r="C29" s="58"/>
      <c r="D29" s="58"/>
      <c r="E29" s="58"/>
      <c r="F29" s="58"/>
      <c r="G29" s="58"/>
      <c r="H29" s="58"/>
    </row>
    <row r="30" spans="1:8" x14ac:dyDescent="0.2">
      <c r="A30" s="65" t="s">
        <v>22</v>
      </c>
      <c r="B30" s="58" t="s">
        <v>45</v>
      </c>
      <c r="C30" s="58"/>
      <c r="D30" s="58"/>
      <c r="E30" s="58"/>
      <c r="F30" s="58"/>
      <c r="G30" s="58"/>
      <c r="H30" s="58"/>
    </row>
    <row r="31" spans="1:8" x14ac:dyDescent="0.2">
      <c r="A31" s="58"/>
      <c r="B31" s="58" t="s">
        <v>46</v>
      </c>
      <c r="C31" s="58"/>
      <c r="D31" s="58"/>
      <c r="E31" s="58"/>
      <c r="F31" s="58"/>
      <c r="G31" s="58"/>
      <c r="H31" s="58"/>
    </row>
    <row r="32" spans="1:8" x14ac:dyDescent="0.2">
      <c r="A32" s="58"/>
      <c r="B32" s="58" t="s">
        <v>47</v>
      </c>
      <c r="C32" s="58"/>
      <c r="D32" s="58"/>
      <c r="E32" s="58"/>
      <c r="F32" s="58"/>
      <c r="G32" s="58"/>
      <c r="H32" s="58"/>
    </row>
    <row r="33" spans="1:8" x14ac:dyDescent="0.2">
      <c r="A33" s="58"/>
      <c r="B33" s="58" t="s">
        <v>48</v>
      </c>
      <c r="C33" s="58"/>
      <c r="D33" s="58"/>
      <c r="E33" s="58"/>
      <c r="F33" s="58"/>
      <c r="G33" s="58"/>
      <c r="H33" s="58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topLeftCell="A6" zoomScale="120" zoomScaleNormal="120" workbookViewId="0">
      <selection activeCell="B15" sqref="B15:E15"/>
    </sheetView>
  </sheetViews>
  <sheetFormatPr baseColWidth="10" defaultColWidth="11.5" defaultRowHeight="15" x14ac:dyDescent="0.2"/>
  <cols>
    <col min="1" max="1" width="14.6640625" bestFit="1" customWidth="1"/>
    <col min="2" max="2" width="12.6640625" customWidth="1"/>
    <col min="3" max="3" width="13.5" customWidth="1"/>
    <col min="4" max="4" width="14.33203125" customWidth="1"/>
    <col min="5" max="5" width="9.1640625" customWidth="1"/>
  </cols>
  <sheetData>
    <row r="1" spans="1:8" x14ac:dyDescent="0.2">
      <c r="A1" s="74" t="s">
        <v>49</v>
      </c>
      <c r="B1" s="75"/>
    </row>
    <row r="2" spans="1:8" x14ac:dyDescent="0.2">
      <c r="A2" t="s">
        <v>50</v>
      </c>
      <c r="B2">
        <v>14</v>
      </c>
    </row>
    <row r="3" spans="1:8" x14ac:dyDescent="0.2">
      <c r="A3" t="s">
        <v>51</v>
      </c>
      <c r="B3">
        <v>0.77</v>
      </c>
    </row>
    <row r="4" spans="1:8" x14ac:dyDescent="0.2">
      <c r="A4" t="s">
        <v>52</v>
      </c>
      <c r="B4">
        <v>91</v>
      </c>
    </row>
    <row r="5" spans="1:8" x14ac:dyDescent="0.2">
      <c r="A5" t="s">
        <v>53</v>
      </c>
      <c r="B5">
        <v>3.4</v>
      </c>
    </row>
    <row r="6" spans="1:8" x14ac:dyDescent="0.2">
      <c r="A6" t="s">
        <v>54</v>
      </c>
      <c r="B6">
        <v>6.04</v>
      </c>
    </row>
    <row r="7" spans="1:8" x14ac:dyDescent="0.2">
      <c r="A7" t="s">
        <v>55</v>
      </c>
      <c r="B7">
        <v>20.5</v>
      </c>
    </row>
    <row r="8" spans="1:8" x14ac:dyDescent="0.2">
      <c r="A8" t="s">
        <v>56</v>
      </c>
      <c r="B8">
        <v>3.53</v>
      </c>
    </row>
    <row r="9" spans="1:8" x14ac:dyDescent="0.2">
      <c r="A9" t="s">
        <v>57</v>
      </c>
      <c r="B9">
        <v>0.33</v>
      </c>
    </row>
    <row r="12" spans="1:8" x14ac:dyDescent="0.2">
      <c r="A12" s="70" t="s">
        <v>58</v>
      </c>
      <c r="B12" s="71"/>
      <c r="C12" s="71"/>
      <c r="D12" s="71"/>
      <c r="E12" s="71"/>
      <c r="F12" s="73" t="s">
        <v>59</v>
      </c>
      <c r="G12" s="72"/>
      <c r="H12" s="72"/>
    </row>
    <row r="13" spans="1:8" x14ac:dyDescent="0.2">
      <c r="A13" s="67" t="s">
        <v>60</v>
      </c>
      <c r="B13" s="67" t="s">
        <v>61</v>
      </c>
      <c r="F13" s="67" t="s">
        <v>60</v>
      </c>
      <c r="G13" s="67" t="s">
        <v>62</v>
      </c>
      <c r="H13" s="67" t="s">
        <v>63</v>
      </c>
    </row>
    <row r="14" spans="1:8" x14ac:dyDescent="0.2">
      <c r="A14" t="s">
        <v>64</v>
      </c>
      <c r="B14" s="96" t="s">
        <v>65</v>
      </c>
      <c r="C14" s="97"/>
      <c r="D14" s="97"/>
      <c r="E14" s="97"/>
      <c r="F14" t="s">
        <v>64</v>
      </c>
      <c r="H14">
        <v>62</v>
      </c>
    </row>
    <row r="15" spans="1:8" x14ac:dyDescent="0.2">
      <c r="A15" t="s">
        <v>66</v>
      </c>
      <c r="B15" s="96"/>
      <c r="C15" s="97"/>
      <c r="D15" s="97"/>
      <c r="E15" s="97"/>
      <c r="F15" t="s">
        <v>66</v>
      </c>
      <c r="H15">
        <v>235</v>
      </c>
    </row>
    <row r="16" spans="1:8" x14ac:dyDescent="0.2">
      <c r="A16" t="s">
        <v>67</v>
      </c>
      <c r="B16" s="96" t="s">
        <v>68</v>
      </c>
      <c r="C16" s="97"/>
      <c r="D16" s="97"/>
      <c r="E16" s="97"/>
      <c r="F16" t="s">
        <v>67</v>
      </c>
      <c r="H16">
        <v>151</v>
      </c>
    </row>
    <row r="17" spans="1:8" x14ac:dyDescent="0.2">
      <c r="A17" t="s">
        <v>69</v>
      </c>
      <c r="B17" s="96" t="s">
        <v>70</v>
      </c>
      <c r="C17" s="97"/>
      <c r="D17" s="97"/>
      <c r="E17" s="97"/>
      <c r="F17" t="s">
        <v>69</v>
      </c>
      <c r="H17">
        <v>74</v>
      </c>
    </row>
    <row r="18" spans="1:8" x14ac:dyDescent="0.2">
      <c r="A18" t="s">
        <v>71</v>
      </c>
      <c r="B18" s="96"/>
      <c r="C18" s="97"/>
      <c r="D18" s="97"/>
      <c r="E18" s="97"/>
      <c r="F18" t="s">
        <v>71</v>
      </c>
      <c r="H18">
        <v>144</v>
      </c>
    </row>
    <row r="19" spans="1:8" x14ac:dyDescent="0.2">
      <c r="A19" t="s">
        <v>72</v>
      </c>
      <c r="B19" s="96"/>
      <c r="C19" s="97"/>
      <c r="D19" s="97"/>
      <c r="E19" s="97"/>
      <c r="F19" t="s">
        <v>72</v>
      </c>
      <c r="G19">
        <v>15</v>
      </c>
      <c r="H19">
        <v>43</v>
      </c>
    </row>
    <row r="20" spans="1:8" x14ac:dyDescent="0.2">
      <c r="A20" t="s">
        <v>73</v>
      </c>
      <c r="B20" s="96"/>
      <c r="C20" s="97"/>
      <c r="D20" s="97"/>
      <c r="E20" s="97"/>
      <c r="F20" t="s">
        <v>73</v>
      </c>
      <c r="H20">
        <v>62</v>
      </c>
    </row>
    <row r="21" spans="1:8" x14ac:dyDescent="0.2">
      <c r="A21" t="s">
        <v>74</v>
      </c>
      <c r="B21" s="96"/>
      <c r="C21" s="97"/>
      <c r="D21" s="97"/>
      <c r="E21" s="97"/>
      <c r="F21" t="s">
        <v>74</v>
      </c>
      <c r="H21">
        <v>101</v>
      </c>
    </row>
    <row r="22" spans="1:8" x14ac:dyDescent="0.2">
      <c r="A22" t="s">
        <v>75</v>
      </c>
      <c r="B22" s="68"/>
      <c r="C22" s="68"/>
      <c r="D22" s="68"/>
      <c r="E22" s="68"/>
      <c r="F22" t="s">
        <v>75</v>
      </c>
      <c r="G22">
        <v>30</v>
      </c>
      <c r="H22">
        <v>89</v>
      </c>
    </row>
    <row r="23" spans="1:8" ht="28.25" customHeight="1" x14ac:dyDescent="0.2">
      <c r="A23" s="69" t="s">
        <v>76</v>
      </c>
      <c r="B23" s="98" t="s">
        <v>77</v>
      </c>
      <c r="C23" s="97"/>
      <c r="D23" s="97"/>
      <c r="E23" s="97"/>
      <c r="F23" s="76" t="s">
        <v>76</v>
      </c>
      <c r="G23">
        <v>90</v>
      </c>
      <c r="H23">
        <v>141</v>
      </c>
    </row>
    <row r="24" spans="1:8" x14ac:dyDescent="0.2">
      <c r="A24" t="s">
        <v>78</v>
      </c>
      <c r="B24" s="68"/>
      <c r="C24" s="68"/>
      <c r="D24" s="68"/>
      <c r="E24" s="68"/>
      <c r="F24" t="s">
        <v>78</v>
      </c>
      <c r="G24">
        <v>30</v>
      </c>
      <c r="H24">
        <v>74</v>
      </c>
    </row>
    <row r="25" spans="1:8" x14ac:dyDescent="0.2">
      <c r="F25" s="73" t="s">
        <v>79</v>
      </c>
      <c r="G25" s="73">
        <f>+SUM(G14:G24)</f>
        <v>165</v>
      </c>
      <c r="H25" s="73">
        <f>+SUM(H14:H24)</f>
        <v>1176</v>
      </c>
    </row>
  </sheetData>
  <mergeCells count="9">
    <mergeCell ref="B15:E15"/>
    <mergeCell ref="B19:E19"/>
    <mergeCell ref="B20:E20"/>
    <mergeCell ref="B14:E14"/>
    <mergeCell ref="B23:E23"/>
    <mergeCell ref="B18:E18"/>
    <mergeCell ref="B17:E17"/>
    <mergeCell ref="B21:E21"/>
    <mergeCell ref="B16:E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M159"/>
  <sheetViews>
    <sheetView topLeftCell="A12" workbookViewId="0">
      <selection activeCell="K5" sqref="K5:L159"/>
    </sheetView>
  </sheetViews>
  <sheetFormatPr baseColWidth="10" defaultColWidth="11.5" defaultRowHeight="15" x14ac:dyDescent="0.2"/>
  <cols>
    <col min="2" max="2" width="9" customWidth="1"/>
    <col min="6" max="7" width="15.6640625" customWidth="1"/>
    <col min="8" max="8" width="20.6640625" customWidth="1"/>
    <col min="9" max="9" width="8.6640625" customWidth="1"/>
    <col min="10" max="10" width="11.33203125" customWidth="1"/>
    <col min="11" max="11" width="12.5" customWidth="1"/>
    <col min="13" max="13" width="12.1640625" customWidth="1"/>
  </cols>
  <sheetData>
    <row r="1" spans="1:13" ht="18" customHeight="1" x14ac:dyDescent="0.25">
      <c r="A1" s="1" t="s">
        <v>80</v>
      </c>
      <c r="B1" s="1"/>
    </row>
    <row r="2" spans="1:13" ht="18" customHeight="1" x14ac:dyDescent="0.25">
      <c r="A2" s="1" t="s">
        <v>81</v>
      </c>
      <c r="B2" s="1" t="s">
        <v>82</v>
      </c>
    </row>
    <row r="3" spans="1:13" x14ac:dyDescent="0.2">
      <c r="I3" t="s">
        <v>83</v>
      </c>
      <c r="K3">
        <v>38</v>
      </c>
    </row>
    <row r="5" spans="1:13" ht="13.5" customHeight="1" x14ac:dyDescent="0.2">
      <c r="A5" s="2" t="s">
        <v>84</v>
      </c>
      <c r="B5" s="2" t="s">
        <v>85</v>
      </c>
      <c r="C5" s="2" t="s">
        <v>86</v>
      </c>
      <c r="D5" s="2" t="s">
        <v>12</v>
      </c>
      <c r="E5" s="2" t="s">
        <v>87</v>
      </c>
      <c r="F5" s="2" t="s">
        <v>88</v>
      </c>
      <c r="G5" s="2" t="s">
        <v>89</v>
      </c>
      <c r="H5" s="2" t="s">
        <v>90</v>
      </c>
      <c r="I5" s="2" t="s">
        <v>91</v>
      </c>
      <c r="J5" s="2" t="s">
        <v>92</v>
      </c>
      <c r="K5" s="3" t="s">
        <v>93</v>
      </c>
      <c r="L5" s="3" t="s">
        <v>94</v>
      </c>
      <c r="M5" s="2" t="s">
        <v>95</v>
      </c>
    </row>
    <row r="6" spans="1:13" ht="13.5" customHeight="1" x14ac:dyDescent="0.2">
      <c r="A6" s="4">
        <v>45820</v>
      </c>
      <c r="B6" s="5">
        <v>1</v>
      </c>
      <c r="C6" s="6" t="s">
        <v>62</v>
      </c>
      <c r="D6" s="6" t="s">
        <v>96</v>
      </c>
      <c r="E6" s="7" t="s">
        <v>97</v>
      </c>
      <c r="F6" s="8">
        <v>265</v>
      </c>
      <c r="G6" s="9">
        <v>431.3</v>
      </c>
      <c r="H6" s="10">
        <v>642</v>
      </c>
      <c r="I6" s="11">
        <v>72</v>
      </c>
      <c r="J6" s="8">
        <v>539</v>
      </c>
      <c r="K6" s="8">
        <v>38.299999999999997</v>
      </c>
      <c r="L6" s="12">
        <v>4347</v>
      </c>
      <c r="M6" s="13">
        <f t="shared" ref="M6:M15" si="0">+(F6*(100/30))*(100/$K$3)</f>
        <v>2324.5614035087724</v>
      </c>
    </row>
    <row r="7" spans="1:13" ht="13.5" customHeight="1" x14ac:dyDescent="0.2">
      <c r="A7" s="4">
        <v>45820</v>
      </c>
      <c r="B7" s="5">
        <v>2</v>
      </c>
      <c r="C7" s="6" t="s">
        <v>62</v>
      </c>
      <c r="D7" s="6" t="s">
        <v>96</v>
      </c>
      <c r="E7" s="7" t="s">
        <v>98</v>
      </c>
      <c r="F7" s="8">
        <v>265</v>
      </c>
      <c r="G7" s="9">
        <v>314.10000000000002</v>
      </c>
      <c r="H7" s="10">
        <v>685</v>
      </c>
      <c r="I7" s="11">
        <v>56</v>
      </c>
      <c r="J7" s="8">
        <v>547</v>
      </c>
      <c r="K7" s="8">
        <v>34</v>
      </c>
      <c r="L7" s="12">
        <v>2810</v>
      </c>
      <c r="M7" s="13">
        <f t="shared" si="0"/>
        <v>2324.5614035087724</v>
      </c>
    </row>
    <row r="8" spans="1:13" ht="13.5" customHeight="1" x14ac:dyDescent="0.2">
      <c r="A8" s="4">
        <v>45820</v>
      </c>
      <c r="B8" s="5">
        <v>3</v>
      </c>
      <c r="C8" s="6" t="s">
        <v>62</v>
      </c>
      <c r="D8" s="6" t="s">
        <v>96</v>
      </c>
      <c r="E8" s="7" t="s">
        <v>99</v>
      </c>
      <c r="F8" s="8">
        <v>278</v>
      </c>
      <c r="G8" s="9">
        <v>467.5</v>
      </c>
      <c r="H8" s="10">
        <v>738</v>
      </c>
      <c r="I8" s="11">
        <v>81</v>
      </c>
      <c r="J8" s="8">
        <v>598</v>
      </c>
      <c r="K8" s="8">
        <v>38.299999999999997</v>
      </c>
      <c r="L8" s="12">
        <v>4712</v>
      </c>
      <c r="M8" s="13">
        <f t="shared" si="0"/>
        <v>2438.5964912280706</v>
      </c>
    </row>
    <row r="9" spans="1:13" ht="13.5" customHeight="1" x14ac:dyDescent="0.2">
      <c r="A9" s="4">
        <v>45820</v>
      </c>
      <c r="B9" s="5">
        <v>4</v>
      </c>
      <c r="C9" s="6" t="s">
        <v>62</v>
      </c>
      <c r="D9" s="6" t="s">
        <v>96</v>
      </c>
      <c r="E9" s="7" t="s">
        <v>100</v>
      </c>
      <c r="F9" s="8">
        <v>274</v>
      </c>
      <c r="G9" s="9">
        <v>359.4</v>
      </c>
      <c r="H9" s="10">
        <v>696</v>
      </c>
      <c r="I9" s="11">
        <v>28</v>
      </c>
      <c r="J9" s="8">
        <v>561</v>
      </c>
      <c r="K9" s="8">
        <v>34.4</v>
      </c>
      <c r="L9" s="12">
        <v>3254</v>
      </c>
      <c r="M9" s="13">
        <f t="shared" si="0"/>
        <v>2403.5087719298249</v>
      </c>
    </row>
    <row r="10" spans="1:13" ht="13.5" hidden="1" customHeight="1" x14ac:dyDescent="0.2">
      <c r="A10" s="4">
        <v>45820</v>
      </c>
      <c r="B10" s="5"/>
      <c r="C10" s="6" t="s">
        <v>62</v>
      </c>
      <c r="D10" s="6" t="s">
        <v>96</v>
      </c>
      <c r="E10" s="7" t="s">
        <v>101</v>
      </c>
      <c r="F10" s="8">
        <v>233</v>
      </c>
      <c r="G10" s="9"/>
      <c r="H10" s="10"/>
      <c r="I10" s="11"/>
      <c r="J10" s="8"/>
      <c r="K10" s="8"/>
      <c r="L10" s="8"/>
      <c r="M10" s="13">
        <f t="shared" si="0"/>
        <v>2043.8596491228075</v>
      </c>
    </row>
    <row r="11" spans="1:13" ht="13.5" customHeight="1" x14ac:dyDescent="0.2">
      <c r="A11" s="4">
        <v>45820</v>
      </c>
      <c r="B11" s="5">
        <v>5</v>
      </c>
      <c r="C11" s="6" t="s">
        <v>102</v>
      </c>
      <c r="D11" s="6" t="s">
        <v>96</v>
      </c>
      <c r="E11" s="7" t="s">
        <v>97</v>
      </c>
      <c r="F11" s="8">
        <v>252</v>
      </c>
      <c r="G11" s="9">
        <v>404.7</v>
      </c>
      <c r="H11" s="10">
        <v>680</v>
      </c>
      <c r="I11" s="11">
        <v>11</v>
      </c>
      <c r="J11" s="8">
        <v>569</v>
      </c>
      <c r="K11" s="8">
        <v>34.700000000000003</v>
      </c>
      <c r="L11" s="12">
        <v>3696</v>
      </c>
      <c r="M11" s="13">
        <f t="shared" si="0"/>
        <v>2210.5263157894738</v>
      </c>
    </row>
    <row r="12" spans="1:13" ht="13.5" customHeight="1" x14ac:dyDescent="0.2">
      <c r="A12" s="4">
        <v>45820</v>
      </c>
      <c r="B12" s="5">
        <v>6</v>
      </c>
      <c r="C12" s="6" t="s">
        <v>102</v>
      </c>
      <c r="D12" s="6" t="s">
        <v>96</v>
      </c>
      <c r="E12" s="7" t="s">
        <v>98</v>
      </c>
      <c r="F12" s="8">
        <v>300</v>
      </c>
      <c r="G12" s="9">
        <v>571.9</v>
      </c>
      <c r="H12" s="10">
        <v>736</v>
      </c>
      <c r="I12" s="11">
        <v>42</v>
      </c>
      <c r="J12" s="8">
        <v>591</v>
      </c>
      <c r="K12" s="8">
        <v>33.299999999999997</v>
      </c>
      <c r="L12" s="12">
        <v>5012</v>
      </c>
      <c r="M12" s="13">
        <f t="shared" si="0"/>
        <v>2631.5789473684213</v>
      </c>
    </row>
    <row r="13" spans="1:13" ht="13.5" customHeight="1" x14ac:dyDescent="0.2">
      <c r="A13" s="4">
        <v>45820</v>
      </c>
      <c r="B13" s="5">
        <v>7</v>
      </c>
      <c r="C13" s="6" t="s">
        <v>102</v>
      </c>
      <c r="D13" s="6" t="s">
        <v>96</v>
      </c>
      <c r="E13" s="7" t="s">
        <v>99</v>
      </c>
      <c r="F13" s="8">
        <v>305</v>
      </c>
      <c r="G13" s="9">
        <v>445</v>
      </c>
      <c r="H13" s="10">
        <v>680</v>
      </c>
      <c r="I13" s="11">
        <v>25</v>
      </c>
      <c r="J13" s="8">
        <v>558</v>
      </c>
      <c r="K13" s="8">
        <v>31.1</v>
      </c>
      <c r="L13" s="12">
        <v>3642</v>
      </c>
      <c r="M13" s="13">
        <f t="shared" si="0"/>
        <v>2675.4385964912285</v>
      </c>
    </row>
    <row r="14" spans="1:13" ht="13.5" customHeight="1" x14ac:dyDescent="0.2">
      <c r="A14" s="4">
        <v>45820</v>
      </c>
      <c r="B14" s="5">
        <v>8</v>
      </c>
      <c r="C14" s="6" t="s">
        <v>102</v>
      </c>
      <c r="D14" s="6" t="s">
        <v>96</v>
      </c>
      <c r="E14" s="7" t="s">
        <v>100</v>
      </c>
      <c r="F14" s="8">
        <v>263</v>
      </c>
      <c r="G14" s="9">
        <v>284.7</v>
      </c>
      <c r="H14" s="10">
        <v>709</v>
      </c>
      <c r="I14" s="11">
        <v>45</v>
      </c>
      <c r="J14" s="8">
        <v>587</v>
      </c>
      <c r="K14" s="8">
        <v>35.799999999999997</v>
      </c>
      <c r="L14" s="12">
        <v>2682</v>
      </c>
      <c r="M14" s="13">
        <f t="shared" si="0"/>
        <v>2307.0175438596493</v>
      </c>
    </row>
    <row r="15" spans="1:13" ht="13.5" hidden="1" customHeight="1" x14ac:dyDescent="0.2">
      <c r="A15" s="4">
        <v>45820</v>
      </c>
      <c r="B15" s="7"/>
      <c r="C15" s="7" t="s">
        <v>102</v>
      </c>
      <c r="D15" s="6" t="s">
        <v>96</v>
      </c>
      <c r="E15" s="7" t="s">
        <v>101</v>
      </c>
      <c r="F15" s="8">
        <v>320</v>
      </c>
      <c r="G15" s="14"/>
      <c r="H15" s="15"/>
      <c r="I15" s="16"/>
      <c r="J15" s="17"/>
      <c r="K15" s="8"/>
      <c r="L15" s="8"/>
      <c r="M15" s="13">
        <f t="shared" si="0"/>
        <v>2807.0175438596493</v>
      </c>
    </row>
    <row r="16" spans="1:13" ht="13.5" customHeight="1" x14ac:dyDescent="0.2">
      <c r="A16" s="4">
        <v>45916</v>
      </c>
      <c r="B16" s="6">
        <v>9</v>
      </c>
      <c r="C16" s="7" t="s">
        <v>102</v>
      </c>
      <c r="D16" s="7" t="s">
        <v>5</v>
      </c>
      <c r="E16" s="7" t="s">
        <v>97</v>
      </c>
      <c r="F16" s="17"/>
      <c r="G16" s="18">
        <v>671</v>
      </c>
      <c r="H16" s="18">
        <v>74.5</v>
      </c>
      <c r="I16" s="8">
        <v>97</v>
      </c>
      <c r="J16" s="8">
        <v>22</v>
      </c>
      <c r="K16" s="8">
        <v>29.5</v>
      </c>
      <c r="L16" s="12">
        <v>5214</v>
      </c>
      <c r="M16" s="7"/>
    </row>
    <row r="17" spans="1:13" ht="13.5" customHeight="1" x14ac:dyDescent="0.2">
      <c r="A17" s="4">
        <v>45916</v>
      </c>
      <c r="B17" s="6">
        <v>10</v>
      </c>
      <c r="C17" s="7" t="s">
        <v>102</v>
      </c>
      <c r="D17" s="7" t="s">
        <v>4</v>
      </c>
      <c r="E17" s="7" t="s">
        <v>97</v>
      </c>
      <c r="F17" s="17"/>
      <c r="G17" s="8">
        <v>1620</v>
      </c>
      <c r="H17" s="8">
        <v>126</v>
      </c>
      <c r="I17" s="8">
        <v>31</v>
      </c>
      <c r="J17" s="8">
        <v>22</v>
      </c>
      <c r="K17" s="8">
        <v>17.5</v>
      </c>
      <c r="L17" s="12">
        <v>7444</v>
      </c>
      <c r="M17" s="7"/>
    </row>
    <row r="18" spans="1:13" ht="13.5" customHeight="1" x14ac:dyDescent="0.2">
      <c r="A18" s="4">
        <v>45916</v>
      </c>
      <c r="B18" s="6">
        <v>11</v>
      </c>
      <c r="C18" s="7" t="s">
        <v>102</v>
      </c>
      <c r="D18" s="7" t="s">
        <v>9</v>
      </c>
      <c r="E18" s="7" t="s">
        <v>97</v>
      </c>
      <c r="F18" s="17"/>
      <c r="G18" s="8">
        <v>1699</v>
      </c>
      <c r="H18" s="8">
        <v>131.80000000000001</v>
      </c>
      <c r="I18" s="8">
        <v>56</v>
      </c>
      <c r="J18" s="8">
        <v>25</v>
      </c>
      <c r="K18" s="8">
        <v>19</v>
      </c>
      <c r="L18" s="12">
        <v>8481</v>
      </c>
      <c r="M18" s="7"/>
    </row>
    <row r="19" spans="1:13" ht="13.5" customHeight="1" x14ac:dyDescent="0.2">
      <c r="A19" s="4">
        <v>45916</v>
      </c>
      <c r="B19" s="6">
        <v>12</v>
      </c>
      <c r="C19" s="7" t="s">
        <v>102</v>
      </c>
      <c r="D19" s="7" t="s">
        <v>8</v>
      </c>
      <c r="E19" s="7" t="s">
        <v>97</v>
      </c>
      <c r="F19" s="17"/>
      <c r="G19" s="8">
        <v>1328</v>
      </c>
      <c r="H19" s="8">
        <v>130</v>
      </c>
      <c r="I19" s="8">
        <v>29</v>
      </c>
      <c r="J19" s="8">
        <v>14</v>
      </c>
      <c r="K19" s="8">
        <v>10.8</v>
      </c>
      <c r="L19" s="12">
        <v>3764</v>
      </c>
      <c r="M19" s="7"/>
    </row>
    <row r="20" spans="1:13" ht="13.5" customHeight="1" x14ac:dyDescent="0.2">
      <c r="A20" s="4">
        <v>45916</v>
      </c>
      <c r="B20" s="6">
        <v>13</v>
      </c>
      <c r="C20" s="7" t="s">
        <v>102</v>
      </c>
      <c r="D20" s="7" t="s">
        <v>7</v>
      </c>
      <c r="E20" s="7" t="s">
        <v>97</v>
      </c>
      <c r="F20" s="17"/>
      <c r="G20" s="8">
        <v>803</v>
      </c>
      <c r="H20" s="8">
        <v>108.6</v>
      </c>
      <c r="I20" s="8">
        <v>24</v>
      </c>
      <c r="J20" s="8">
        <v>37</v>
      </c>
      <c r="K20" s="8">
        <v>34.1</v>
      </c>
      <c r="L20" s="12">
        <v>7200</v>
      </c>
      <c r="M20" s="7"/>
    </row>
    <row r="21" spans="1:13" ht="13.5" customHeight="1" x14ac:dyDescent="0.2">
      <c r="A21" s="4">
        <v>45916</v>
      </c>
      <c r="B21" s="6">
        <v>14</v>
      </c>
      <c r="C21" s="7" t="s">
        <v>102</v>
      </c>
      <c r="D21" s="7" t="s">
        <v>6</v>
      </c>
      <c r="E21" s="7" t="s">
        <v>97</v>
      </c>
      <c r="F21" s="17"/>
      <c r="G21" s="8">
        <v>540</v>
      </c>
      <c r="H21" s="8">
        <v>66</v>
      </c>
      <c r="I21" s="8">
        <v>92</v>
      </c>
      <c r="J21" s="8">
        <v>16</v>
      </c>
      <c r="K21" s="8">
        <v>24.2</v>
      </c>
      <c r="L21" s="12">
        <v>3445</v>
      </c>
      <c r="M21" s="7"/>
    </row>
    <row r="22" spans="1:13" ht="13.5" customHeight="1" x14ac:dyDescent="0.2">
      <c r="A22" s="4">
        <v>45916</v>
      </c>
      <c r="B22" s="6">
        <v>15</v>
      </c>
      <c r="C22" s="7" t="s">
        <v>102</v>
      </c>
      <c r="D22" s="7" t="s">
        <v>8</v>
      </c>
      <c r="E22" s="7" t="s">
        <v>98</v>
      </c>
      <c r="F22" s="17"/>
      <c r="G22" s="8">
        <v>1378</v>
      </c>
      <c r="H22" s="8">
        <v>137.19999999999999</v>
      </c>
      <c r="I22" s="8">
        <v>9</v>
      </c>
      <c r="J22" s="8">
        <v>27</v>
      </c>
      <c r="K22" s="8">
        <v>19.7</v>
      </c>
      <c r="L22" s="12">
        <v>7136</v>
      </c>
      <c r="M22" s="7"/>
    </row>
    <row r="23" spans="1:13" ht="13.5" customHeight="1" x14ac:dyDescent="0.2">
      <c r="A23" s="4">
        <v>45916</v>
      </c>
      <c r="B23" s="6">
        <v>16</v>
      </c>
      <c r="C23" s="7" t="s">
        <v>102</v>
      </c>
      <c r="D23" s="7" t="s">
        <v>9</v>
      </c>
      <c r="E23" s="7" t="s">
        <v>98</v>
      </c>
      <c r="F23" s="17"/>
      <c r="G23" s="8">
        <v>1980</v>
      </c>
      <c r="H23" s="8">
        <v>86</v>
      </c>
      <c r="I23" s="8">
        <v>65</v>
      </c>
      <c r="J23" s="8">
        <v>19</v>
      </c>
      <c r="K23" s="8">
        <v>22.1</v>
      </c>
      <c r="L23" s="12">
        <v>11512</v>
      </c>
      <c r="M23" s="7"/>
    </row>
    <row r="24" spans="1:13" ht="13.5" customHeight="1" x14ac:dyDescent="0.2">
      <c r="A24" s="4">
        <v>45916</v>
      </c>
      <c r="B24" s="6">
        <v>17</v>
      </c>
      <c r="C24" s="7" t="s">
        <v>102</v>
      </c>
      <c r="D24" s="7" t="s">
        <v>7</v>
      </c>
      <c r="E24" s="7" t="s">
        <v>98</v>
      </c>
      <c r="F24" s="17"/>
      <c r="G24" s="8">
        <v>959</v>
      </c>
      <c r="H24" s="8">
        <v>77</v>
      </c>
      <c r="I24" s="8">
        <v>55</v>
      </c>
      <c r="J24" s="8">
        <v>18</v>
      </c>
      <c r="K24" s="8">
        <v>23.4</v>
      </c>
      <c r="L24" s="12">
        <v>5900</v>
      </c>
      <c r="M24" s="7"/>
    </row>
    <row r="25" spans="1:13" ht="13.5" customHeight="1" x14ac:dyDescent="0.2">
      <c r="A25" s="4">
        <v>45916</v>
      </c>
      <c r="B25" s="6">
        <v>18</v>
      </c>
      <c r="C25" s="7" t="s">
        <v>102</v>
      </c>
      <c r="D25" s="7" t="s">
        <v>5</v>
      </c>
      <c r="E25" s="7" t="s">
        <v>98</v>
      </c>
      <c r="F25" s="17"/>
      <c r="G25" s="8">
        <v>466</v>
      </c>
      <c r="H25" s="8">
        <v>85</v>
      </c>
      <c r="I25" s="8">
        <v>76</v>
      </c>
      <c r="J25" s="8">
        <v>25</v>
      </c>
      <c r="K25" s="8">
        <v>29.4</v>
      </c>
      <c r="L25" s="12">
        <v>3607</v>
      </c>
      <c r="M25" s="7"/>
    </row>
    <row r="26" spans="1:13" ht="13.5" customHeight="1" x14ac:dyDescent="0.2">
      <c r="A26" s="4">
        <v>45916</v>
      </c>
      <c r="B26" s="6">
        <v>19</v>
      </c>
      <c r="C26" s="7" t="s">
        <v>102</v>
      </c>
      <c r="D26" s="7" t="s">
        <v>4</v>
      </c>
      <c r="E26" s="7" t="s">
        <v>98</v>
      </c>
      <c r="F26" s="17"/>
      <c r="G26" s="8">
        <v>1735</v>
      </c>
      <c r="H26" s="8">
        <v>110.6</v>
      </c>
      <c r="I26" s="8">
        <v>42</v>
      </c>
      <c r="J26" s="8">
        <v>23.3</v>
      </c>
      <c r="K26" s="8">
        <v>21.1</v>
      </c>
      <c r="L26" s="12">
        <v>9619</v>
      </c>
      <c r="M26" s="7"/>
    </row>
    <row r="27" spans="1:13" ht="13.5" customHeight="1" x14ac:dyDescent="0.2">
      <c r="A27" s="4">
        <v>45916</v>
      </c>
      <c r="B27" s="6">
        <v>20</v>
      </c>
      <c r="C27" s="7" t="s">
        <v>102</v>
      </c>
      <c r="D27" s="7" t="s">
        <v>6</v>
      </c>
      <c r="E27" s="7" t="s">
        <v>98</v>
      </c>
      <c r="F27" s="17"/>
      <c r="G27" s="8">
        <v>716</v>
      </c>
      <c r="H27" s="8">
        <v>104.9</v>
      </c>
      <c r="I27" s="8">
        <v>8</v>
      </c>
      <c r="J27" s="8">
        <v>24</v>
      </c>
      <c r="K27" s="8">
        <v>22.9</v>
      </c>
      <c r="L27" s="12">
        <v>4311</v>
      </c>
      <c r="M27" s="7"/>
    </row>
    <row r="28" spans="1:13" ht="13.5" customHeight="1" x14ac:dyDescent="0.2">
      <c r="A28" s="4">
        <v>45916</v>
      </c>
      <c r="B28" s="6">
        <v>21</v>
      </c>
      <c r="C28" s="7" t="s">
        <v>102</v>
      </c>
      <c r="D28" s="7" t="s">
        <v>8</v>
      </c>
      <c r="E28" s="7" t="s">
        <v>99</v>
      </c>
      <c r="F28" s="17"/>
      <c r="G28" s="8">
        <v>1220</v>
      </c>
      <c r="H28" s="8">
        <v>106.3</v>
      </c>
      <c r="I28" s="8">
        <v>133</v>
      </c>
      <c r="J28" s="8">
        <v>21</v>
      </c>
      <c r="K28" s="8">
        <v>19.8</v>
      </c>
      <c r="L28" s="12">
        <v>6343</v>
      </c>
      <c r="M28" s="7"/>
    </row>
    <row r="29" spans="1:13" ht="13.5" customHeight="1" x14ac:dyDescent="0.2">
      <c r="A29" s="4">
        <v>45916</v>
      </c>
      <c r="B29" s="6">
        <v>22</v>
      </c>
      <c r="C29" s="7" t="s">
        <v>102</v>
      </c>
      <c r="D29" s="7" t="s">
        <v>7</v>
      </c>
      <c r="E29" s="7" t="s">
        <v>99</v>
      </c>
      <c r="F29" s="17"/>
      <c r="G29" s="8">
        <v>1038</v>
      </c>
      <c r="H29" s="8">
        <v>146.30000000000001</v>
      </c>
      <c r="I29" s="8">
        <v>117</v>
      </c>
      <c r="J29" s="8">
        <v>27</v>
      </c>
      <c r="K29" s="8">
        <v>18.5</v>
      </c>
      <c r="L29" s="12">
        <v>5041</v>
      </c>
      <c r="M29" s="7"/>
    </row>
    <row r="30" spans="1:13" ht="13.5" customHeight="1" x14ac:dyDescent="0.2">
      <c r="A30" s="4">
        <v>45916</v>
      </c>
      <c r="B30" s="6">
        <v>23</v>
      </c>
      <c r="C30" s="7" t="s">
        <v>102</v>
      </c>
      <c r="D30" s="7" t="s">
        <v>5</v>
      </c>
      <c r="E30" s="7" t="s">
        <v>99</v>
      </c>
      <c r="F30" s="17"/>
      <c r="G30" s="8">
        <v>581</v>
      </c>
      <c r="H30" s="8">
        <v>65.7</v>
      </c>
      <c r="I30" s="8">
        <v>51</v>
      </c>
      <c r="J30" s="8">
        <v>19</v>
      </c>
      <c r="K30" s="8">
        <v>28.9</v>
      </c>
      <c r="L30" s="12">
        <v>4422</v>
      </c>
      <c r="M30" s="7"/>
    </row>
    <row r="31" spans="1:13" ht="13.5" customHeight="1" x14ac:dyDescent="0.2">
      <c r="A31" s="4">
        <v>45916</v>
      </c>
      <c r="B31" s="6">
        <v>24</v>
      </c>
      <c r="C31" s="7" t="s">
        <v>102</v>
      </c>
      <c r="D31" s="7" t="s">
        <v>4</v>
      </c>
      <c r="E31" s="7" t="s">
        <v>99</v>
      </c>
      <c r="F31" s="17"/>
      <c r="G31" s="8">
        <v>1854</v>
      </c>
      <c r="H31" s="8">
        <v>137.5</v>
      </c>
      <c r="I31" s="8">
        <v>66</v>
      </c>
      <c r="J31" s="8">
        <v>25</v>
      </c>
      <c r="K31" s="8">
        <v>18.2</v>
      </c>
      <c r="L31" s="12">
        <v>8871</v>
      </c>
      <c r="M31" s="7"/>
    </row>
    <row r="32" spans="1:13" ht="13.5" customHeight="1" x14ac:dyDescent="0.2">
      <c r="A32" s="4">
        <v>45916</v>
      </c>
      <c r="B32" s="6">
        <v>25</v>
      </c>
      <c r="C32" s="7" t="s">
        <v>102</v>
      </c>
      <c r="D32" s="7" t="s">
        <v>6</v>
      </c>
      <c r="E32" s="7" t="s">
        <v>99</v>
      </c>
      <c r="F32" s="17"/>
      <c r="G32" s="8">
        <v>640</v>
      </c>
      <c r="H32" s="8">
        <v>105.4</v>
      </c>
      <c r="I32" s="8">
        <v>45</v>
      </c>
      <c r="J32" s="8">
        <v>26.1</v>
      </c>
      <c r="K32" s="8">
        <v>24.8</v>
      </c>
      <c r="L32" s="12">
        <v>4171</v>
      </c>
      <c r="M32" s="7"/>
    </row>
    <row r="33" spans="1:13" ht="13.5" customHeight="1" x14ac:dyDescent="0.2">
      <c r="A33" s="4">
        <v>45916</v>
      </c>
      <c r="B33" s="6">
        <v>26</v>
      </c>
      <c r="C33" s="7" t="s">
        <v>102</v>
      </c>
      <c r="D33" s="7" t="s">
        <v>9</v>
      </c>
      <c r="E33" s="7" t="s">
        <v>99</v>
      </c>
      <c r="F33" s="17"/>
      <c r="G33" s="8">
        <v>1495</v>
      </c>
      <c r="H33" s="8">
        <v>179.9</v>
      </c>
      <c r="I33" s="8">
        <v>27</v>
      </c>
      <c r="J33" s="8">
        <v>70</v>
      </c>
      <c r="K33" s="19">
        <v>38.9</v>
      </c>
      <c r="L33" s="20">
        <v>15308</v>
      </c>
      <c r="M33" s="7"/>
    </row>
    <row r="34" spans="1:13" ht="13.5" customHeight="1" x14ac:dyDescent="0.2">
      <c r="A34" s="4">
        <v>45916</v>
      </c>
      <c r="B34" s="6">
        <v>27</v>
      </c>
      <c r="C34" s="7" t="s">
        <v>102</v>
      </c>
      <c r="D34" s="7" t="s">
        <v>4</v>
      </c>
      <c r="E34" s="7" t="s">
        <v>100</v>
      </c>
      <c r="F34" s="17"/>
      <c r="G34" s="8">
        <v>1408</v>
      </c>
      <c r="H34" s="8">
        <v>136.9</v>
      </c>
      <c r="I34" s="8">
        <v>107</v>
      </c>
      <c r="J34" s="8">
        <v>26</v>
      </c>
      <c r="K34" s="8">
        <v>19</v>
      </c>
      <c r="L34" s="12">
        <v>7037</v>
      </c>
      <c r="M34" s="7"/>
    </row>
    <row r="35" spans="1:13" ht="13.5" customHeight="1" x14ac:dyDescent="0.2">
      <c r="A35" s="4">
        <v>45916</v>
      </c>
      <c r="B35" s="6">
        <v>28</v>
      </c>
      <c r="C35" s="7" t="s">
        <v>102</v>
      </c>
      <c r="D35" s="7" t="s">
        <v>5</v>
      </c>
      <c r="E35" s="7" t="s">
        <v>100</v>
      </c>
      <c r="F35" s="17"/>
      <c r="G35" s="8">
        <v>649</v>
      </c>
      <c r="H35" s="8">
        <v>113.9</v>
      </c>
      <c r="I35" s="8">
        <v>78</v>
      </c>
      <c r="J35" s="8">
        <v>32</v>
      </c>
      <c r="K35" s="8">
        <v>28.1</v>
      </c>
      <c r="L35" s="12">
        <v>4798</v>
      </c>
      <c r="M35" s="7"/>
    </row>
    <row r="36" spans="1:13" ht="13.5" customHeight="1" x14ac:dyDescent="0.2">
      <c r="A36" s="4">
        <v>45916</v>
      </c>
      <c r="B36" s="6">
        <v>29</v>
      </c>
      <c r="C36" s="7" t="s">
        <v>102</v>
      </c>
      <c r="D36" s="7" t="s">
        <v>6</v>
      </c>
      <c r="E36" s="7" t="s">
        <v>100</v>
      </c>
      <c r="F36" s="17"/>
      <c r="G36" s="8">
        <v>551</v>
      </c>
      <c r="H36" s="8">
        <v>117.1</v>
      </c>
      <c r="I36" s="8">
        <v>43</v>
      </c>
      <c r="J36" s="8">
        <v>27</v>
      </c>
      <c r="K36" s="8">
        <v>23.1</v>
      </c>
      <c r="L36" s="12">
        <v>3343</v>
      </c>
      <c r="M36" s="7"/>
    </row>
    <row r="37" spans="1:13" ht="13.5" customHeight="1" x14ac:dyDescent="0.2">
      <c r="A37" s="4">
        <v>45916</v>
      </c>
      <c r="B37" s="6">
        <v>30</v>
      </c>
      <c r="C37" s="7" t="s">
        <v>102</v>
      </c>
      <c r="D37" s="7" t="s">
        <v>7</v>
      </c>
      <c r="E37" s="7" t="s">
        <v>100</v>
      </c>
      <c r="F37" s="17"/>
      <c r="G37" s="8">
        <v>971</v>
      </c>
      <c r="H37" s="8">
        <v>196.7</v>
      </c>
      <c r="I37" s="8">
        <v>83</v>
      </c>
      <c r="J37" s="8">
        <v>39</v>
      </c>
      <c r="K37" s="8">
        <v>19.8</v>
      </c>
      <c r="L37" s="12">
        <v>5066</v>
      </c>
      <c r="M37" s="7"/>
    </row>
    <row r="38" spans="1:13" ht="13.5" customHeight="1" x14ac:dyDescent="0.2">
      <c r="A38" s="4">
        <v>45916</v>
      </c>
      <c r="B38" s="6">
        <v>31</v>
      </c>
      <c r="C38" s="7" t="s">
        <v>102</v>
      </c>
      <c r="D38" s="7" t="s">
        <v>8</v>
      </c>
      <c r="E38" s="7" t="s">
        <v>100</v>
      </c>
      <c r="F38" s="17"/>
      <c r="G38" s="8">
        <v>1360</v>
      </c>
      <c r="H38" s="8">
        <v>170.8</v>
      </c>
      <c r="I38" s="8">
        <v>87</v>
      </c>
      <c r="J38" s="8">
        <v>34</v>
      </c>
      <c r="K38" s="8">
        <v>19.899999999999999</v>
      </c>
      <c r="L38" s="12">
        <v>7124</v>
      </c>
      <c r="M38" s="7"/>
    </row>
    <row r="39" spans="1:13" ht="13.5" customHeight="1" x14ac:dyDescent="0.2">
      <c r="A39" s="4">
        <v>45916</v>
      </c>
      <c r="B39" s="6">
        <v>32</v>
      </c>
      <c r="C39" s="7" t="s">
        <v>102</v>
      </c>
      <c r="D39" s="7" t="s">
        <v>9</v>
      </c>
      <c r="E39" s="7" t="s">
        <v>100</v>
      </c>
      <c r="F39" s="17"/>
      <c r="G39" s="8">
        <v>1450</v>
      </c>
      <c r="H39" s="8">
        <v>119.5</v>
      </c>
      <c r="I39" s="8">
        <v>18</v>
      </c>
      <c r="J39" s="8">
        <v>23</v>
      </c>
      <c r="K39" s="8">
        <v>19.2</v>
      </c>
      <c r="L39" s="12">
        <v>7344</v>
      </c>
      <c r="M39" s="7"/>
    </row>
    <row r="40" spans="1:13" ht="13.5" customHeight="1" x14ac:dyDescent="0.2">
      <c r="A40" s="4">
        <v>45916</v>
      </c>
      <c r="B40" s="6">
        <v>33</v>
      </c>
      <c r="C40" s="7" t="s">
        <v>62</v>
      </c>
      <c r="D40" s="7" t="s">
        <v>5</v>
      </c>
      <c r="E40" s="7" t="s">
        <v>97</v>
      </c>
      <c r="F40" s="17"/>
      <c r="G40" s="8">
        <v>725</v>
      </c>
      <c r="H40" s="8">
        <v>70</v>
      </c>
      <c r="I40" s="8">
        <v>17</v>
      </c>
      <c r="J40" s="8">
        <v>19</v>
      </c>
      <c r="K40" s="8">
        <v>27.1</v>
      </c>
      <c r="L40" s="12">
        <v>5179</v>
      </c>
      <c r="M40" s="7"/>
    </row>
    <row r="41" spans="1:13" ht="13.5" customHeight="1" x14ac:dyDescent="0.2">
      <c r="A41" s="4">
        <v>45916</v>
      </c>
      <c r="B41" s="6">
        <v>34</v>
      </c>
      <c r="C41" s="7" t="s">
        <v>62</v>
      </c>
      <c r="D41" s="7" t="s">
        <v>4</v>
      </c>
      <c r="E41" s="7" t="s">
        <v>97</v>
      </c>
      <c r="F41" s="17"/>
      <c r="G41" s="8">
        <v>1591</v>
      </c>
      <c r="H41" s="8">
        <v>101.7</v>
      </c>
      <c r="I41" s="8">
        <v>94</v>
      </c>
      <c r="J41" s="8">
        <v>20</v>
      </c>
      <c r="K41" s="8">
        <v>19.7</v>
      </c>
      <c r="L41" s="12">
        <v>8234</v>
      </c>
      <c r="M41" s="7"/>
    </row>
    <row r="42" spans="1:13" ht="13.5" customHeight="1" x14ac:dyDescent="0.2">
      <c r="A42" s="4">
        <v>45916</v>
      </c>
      <c r="B42" s="6">
        <v>35</v>
      </c>
      <c r="C42" s="7" t="s">
        <v>62</v>
      </c>
      <c r="D42" s="7" t="s">
        <v>9</v>
      </c>
      <c r="E42" s="7" t="s">
        <v>97</v>
      </c>
      <c r="F42" s="17"/>
      <c r="G42" s="8">
        <v>1300</v>
      </c>
      <c r="H42" s="8">
        <v>77.8</v>
      </c>
      <c r="I42" s="8">
        <v>10</v>
      </c>
      <c r="J42" s="8">
        <v>18</v>
      </c>
      <c r="K42" s="8">
        <v>23.1</v>
      </c>
      <c r="L42" s="12">
        <v>7915</v>
      </c>
      <c r="M42" s="7"/>
    </row>
    <row r="43" spans="1:13" ht="13.5" customHeight="1" x14ac:dyDescent="0.2">
      <c r="A43" s="4">
        <v>45916</v>
      </c>
      <c r="B43" s="6">
        <v>36</v>
      </c>
      <c r="C43" s="7" t="s">
        <v>62</v>
      </c>
      <c r="D43" s="7" t="s">
        <v>8</v>
      </c>
      <c r="E43" s="7" t="s">
        <v>97</v>
      </c>
      <c r="F43" s="17"/>
      <c r="G43" s="8">
        <v>1202</v>
      </c>
      <c r="H43" s="8">
        <v>148.4</v>
      </c>
      <c r="I43" s="8">
        <v>111</v>
      </c>
      <c r="J43" s="8">
        <v>29</v>
      </c>
      <c r="K43" s="8">
        <v>19.5</v>
      </c>
      <c r="L43" s="12">
        <v>6181</v>
      </c>
      <c r="M43" s="7"/>
    </row>
    <row r="44" spans="1:13" ht="13.5" customHeight="1" x14ac:dyDescent="0.2">
      <c r="A44" s="4">
        <v>45916</v>
      </c>
      <c r="B44" s="6">
        <v>37</v>
      </c>
      <c r="C44" s="7" t="s">
        <v>62</v>
      </c>
      <c r="D44" s="7" t="s">
        <v>7</v>
      </c>
      <c r="E44" s="7" t="s">
        <v>97</v>
      </c>
      <c r="F44" s="17"/>
      <c r="G44" s="8">
        <v>1214</v>
      </c>
      <c r="H44" s="8">
        <v>162.4</v>
      </c>
      <c r="I44" s="8">
        <v>61</v>
      </c>
      <c r="J44" s="8">
        <v>34</v>
      </c>
      <c r="K44" s="8">
        <v>20.9</v>
      </c>
      <c r="L44" s="12">
        <v>6688</v>
      </c>
      <c r="M44" s="7"/>
    </row>
    <row r="45" spans="1:13" ht="13.5" customHeight="1" x14ac:dyDescent="0.2">
      <c r="A45" s="4">
        <v>45916</v>
      </c>
      <c r="B45" s="6">
        <v>38</v>
      </c>
      <c r="C45" s="7" t="s">
        <v>62</v>
      </c>
      <c r="D45" s="7" t="s">
        <v>6</v>
      </c>
      <c r="E45" s="7" t="s">
        <v>97</v>
      </c>
      <c r="F45" s="17"/>
      <c r="G45" s="8">
        <v>724</v>
      </c>
      <c r="H45" s="8">
        <v>109.4</v>
      </c>
      <c r="I45" s="8">
        <v>67</v>
      </c>
      <c r="J45" s="8">
        <v>25</v>
      </c>
      <c r="K45" s="8">
        <v>22.9</v>
      </c>
      <c r="L45" s="12">
        <v>4354</v>
      </c>
      <c r="M45" s="7"/>
    </row>
    <row r="46" spans="1:13" ht="13.5" customHeight="1" x14ac:dyDescent="0.2">
      <c r="A46" s="4">
        <v>45916</v>
      </c>
      <c r="B46" s="6">
        <v>39</v>
      </c>
      <c r="C46" s="7" t="s">
        <v>62</v>
      </c>
      <c r="D46" s="7" t="s">
        <v>8</v>
      </c>
      <c r="E46" s="7" t="s">
        <v>98</v>
      </c>
      <c r="F46" s="17"/>
      <c r="G46" s="8">
        <v>839</v>
      </c>
      <c r="H46" s="8">
        <v>79.400000000000006</v>
      </c>
      <c r="I46" s="8">
        <v>68</v>
      </c>
      <c r="J46" s="8">
        <v>19</v>
      </c>
      <c r="K46" s="8">
        <v>23.9</v>
      </c>
      <c r="L46" s="12">
        <v>5283</v>
      </c>
      <c r="M46" s="7"/>
    </row>
    <row r="47" spans="1:13" ht="13.5" customHeight="1" x14ac:dyDescent="0.2">
      <c r="A47" s="4">
        <v>45916</v>
      </c>
      <c r="B47" s="6">
        <v>40</v>
      </c>
      <c r="C47" s="7" t="s">
        <v>62</v>
      </c>
      <c r="D47" s="7" t="s">
        <v>9</v>
      </c>
      <c r="E47" s="7" t="s">
        <v>98</v>
      </c>
      <c r="F47" s="17"/>
      <c r="G47" s="8">
        <v>1472</v>
      </c>
      <c r="H47" s="8">
        <v>117.3</v>
      </c>
      <c r="I47" s="8">
        <v>93</v>
      </c>
      <c r="J47" s="8">
        <v>24</v>
      </c>
      <c r="K47" s="8">
        <v>20.5</v>
      </c>
      <c r="L47" s="12">
        <v>7926</v>
      </c>
      <c r="M47" s="7"/>
    </row>
    <row r="48" spans="1:13" ht="13.5" customHeight="1" x14ac:dyDescent="0.2">
      <c r="A48" s="4">
        <v>45916</v>
      </c>
      <c r="B48" s="6">
        <v>41</v>
      </c>
      <c r="C48" s="7" t="s">
        <v>62</v>
      </c>
      <c r="D48" s="7" t="s">
        <v>7</v>
      </c>
      <c r="E48" s="7" t="s">
        <v>98</v>
      </c>
      <c r="F48" s="17"/>
      <c r="G48" s="8">
        <v>1085</v>
      </c>
      <c r="H48" s="8">
        <v>108.3</v>
      </c>
      <c r="I48" s="8">
        <v>33</v>
      </c>
      <c r="J48" s="8">
        <v>23</v>
      </c>
      <c r="K48" s="8">
        <v>21.2</v>
      </c>
      <c r="L48" s="12">
        <v>6064</v>
      </c>
      <c r="M48" s="7"/>
    </row>
    <row r="49" spans="1:13" ht="13.5" customHeight="1" x14ac:dyDescent="0.2">
      <c r="A49" s="4">
        <v>45916</v>
      </c>
      <c r="B49" s="6">
        <v>42</v>
      </c>
      <c r="C49" s="7" t="s">
        <v>62</v>
      </c>
      <c r="D49" s="7" t="s">
        <v>5</v>
      </c>
      <c r="E49" s="7" t="s">
        <v>98</v>
      </c>
      <c r="F49" s="17"/>
      <c r="G49" s="8">
        <v>597</v>
      </c>
      <c r="H49" s="8">
        <v>84.7</v>
      </c>
      <c r="I49" s="8">
        <v>34</v>
      </c>
      <c r="J49" s="8">
        <v>25</v>
      </c>
      <c r="K49" s="8">
        <v>29.5</v>
      </c>
      <c r="L49" s="12">
        <v>4637</v>
      </c>
      <c r="M49" s="7"/>
    </row>
    <row r="50" spans="1:13" ht="13.5" customHeight="1" x14ac:dyDescent="0.2">
      <c r="A50" s="4">
        <v>45916</v>
      </c>
      <c r="B50" s="6">
        <v>43</v>
      </c>
      <c r="C50" s="7" t="s">
        <v>62</v>
      </c>
      <c r="D50" s="7" t="s">
        <v>4</v>
      </c>
      <c r="E50" s="7" t="s">
        <v>98</v>
      </c>
      <c r="F50" s="17"/>
      <c r="G50" s="8">
        <v>1502</v>
      </c>
      <c r="H50" s="8">
        <v>105.9</v>
      </c>
      <c r="I50" s="8">
        <v>23</v>
      </c>
      <c r="J50" s="8">
        <v>21</v>
      </c>
      <c r="K50" s="8">
        <v>19.8</v>
      </c>
      <c r="L50" s="12">
        <v>7838</v>
      </c>
      <c r="M50" s="7"/>
    </row>
    <row r="51" spans="1:13" ht="13.5" customHeight="1" x14ac:dyDescent="0.2">
      <c r="A51" s="4">
        <v>45916</v>
      </c>
      <c r="B51" s="6">
        <v>44</v>
      </c>
      <c r="C51" s="7" t="s">
        <v>62</v>
      </c>
      <c r="D51" s="7" t="s">
        <v>6</v>
      </c>
      <c r="E51" s="7" t="s">
        <v>98</v>
      </c>
      <c r="F51" s="17"/>
      <c r="G51" s="8">
        <v>835</v>
      </c>
      <c r="H51" s="8">
        <v>121.6</v>
      </c>
      <c r="I51" s="8">
        <v>54</v>
      </c>
      <c r="J51" s="8">
        <v>29</v>
      </c>
      <c r="K51" s="8">
        <v>23.8</v>
      </c>
      <c r="L51" s="12">
        <v>5240</v>
      </c>
      <c r="M51" s="7"/>
    </row>
    <row r="52" spans="1:13" ht="13.5" customHeight="1" x14ac:dyDescent="0.2">
      <c r="A52" s="4">
        <v>45916</v>
      </c>
      <c r="B52" s="6">
        <v>45</v>
      </c>
      <c r="C52" s="7" t="s">
        <v>62</v>
      </c>
      <c r="D52" s="7" t="s">
        <v>8</v>
      </c>
      <c r="E52" s="7" t="s">
        <v>99</v>
      </c>
      <c r="F52" s="17"/>
      <c r="G52" s="8">
        <v>1110</v>
      </c>
      <c r="H52" s="8">
        <v>195.2</v>
      </c>
      <c r="I52" s="8">
        <v>85</v>
      </c>
      <c r="J52" s="8">
        <v>40.4</v>
      </c>
      <c r="K52" s="8">
        <v>20.7</v>
      </c>
      <c r="L52" s="12">
        <v>6046</v>
      </c>
      <c r="M52" s="7"/>
    </row>
    <row r="53" spans="1:13" ht="13.5" customHeight="1" x14ac:dyDescent="0.2">
      <c r="A53" s="4">
        <v>45916</v>
      </c>
      <c r="B53" s="6">
        <v>46</v>
      </c>
      <c r="C53" s="7" t="s">
        <v>62</v>
      </c>
      <c r="D53" s="7" t="s">
        <v>7</v>
      </c>
      <c r="E53" s="7" t="s">
        <v>99</v>
      </c>
      <c r="F53" s="17"/>
      <c r="G53" s="8">
        <v>1063</v>
      </c>
      <c r="H53" s="8">
        <v>126.9</v>
      </c>
      <c r="I53" s="8">
        <v>82</v>
      </c>
      <c r="J53" s="8">
        <v>28</v>
      </c>
      <c r="K53" s="8">
        <v>22.1</v>
      </c>
      <c r="L53" s="12">
        <v>6172</v>
      </c>
      <c r="M53" s="7"/>
    </row>
    <row r="54" spans="1:13" ht="13.5" customHeight="1" x14ac:dyDescent="0.2">
      <c r="A54" s="4">
        <v>45916</v>
      </c>
      <c r="B54" s="6">
        <v>47</v>
      </c>
      <c r="C54" s="7" t="s">
        <v>62</v>
      </c>
      <c r="D54" s="7" t="s">
        <v>5</v>
      </c>
      <c r="E54" s="7" t="s">
        <v>99</v>
      </c>
      <c r="F54" s="17"/>
      <c r="G54" s="8">
        <v>799</v>
      </c>
      <c r="H54" s="8">
        <v>96.4</v>
      </c>
      <c r="I54" s="8">
        <v>48</v>
      </c>
      <c r="J54" s="8">
        <v>22</v>
      </c>
      <c r="K54" s="8">
        <v>22.8</v>
      </c>
      <c r="L54" s="12">
        <v>4799</v>
      </c>
      <c r="M54" s="7"/>
    </row>
    <row r="55" spans="1:13" ht="13.5" customHeight="1" x14ac:dyDescent="0.2">
      <c r="A55" s="4">
        <v>45916</v>
      </c>
      <c r="B55" s="6">
        <v>48</v>
      </c>
      <c r="C55" s="7" t="s">
        <v>62</v>
      </c>
      <c r="D55" s="7" t="s">
        <v>4</v>
      </c>
      <c r="E55" s="7" t="s">
        <v>99</v>
      </c>
      <c r="F55" s="17"/>
      <c r="G55" s="8">
        <v>1566</v>
      </c>
      <c r="H55" s="8">
        <v>122.9</v>
      </c>
      <c r="I55" s="8">
        <v>58</v>
      </c>
      <c r="J55" s="8">
        <v>23</v>
      </c>
      <c r="K55" s="8">
        <v>18.7</v>
      </c>
      <c r="L55" s="12">
        <v>7712</v>
      </c>
      <c r="M55" s="7"/>
    </row>
    <row r="56" spans="1:13" ht="13.5" customHeight="1" x14ac:dyDescent="0.2">
      <c r="A56" s="4">
        <v>45916</v>
      </c>
      <c r="B56" s="6">
        <v>49</v>
      </c>
      <c r="C56" s="7" t="s">
        <v>62</v>
      </c>
      <c r="D56" s="7" t="s">
        <v>6</v>
      </c>
      <c r="E56" s="7" t="s">
        <v>99</v>
      </c>
      <c r="F56" s="17"/>
      <c r="G56" s="8">
        <v>1313</v>
      </c>
      <c r="H56" s="8">
        <v>105.6</v>
      </c>
      <c r="I56" s="8">
        <v>21</v>
      </c>
      <c r="J56" s="8">
        <v>25</v>
      </c>
      <c r="K56" s="8">
        <v>23.7</v>
      </c>
      <c r="L56" s="12">
        <v>8180</v>
      </c>
      <c r="M56" s="7"/>
    </row>
    <row r="57" spans="1:13" ht="13.5" customHeight="1" x14ac:dyDescent="0.2">
      <c r="A57" s="4">
        <v>45916</v>
      </c>
      <c r="B57" s="6">
        <v>50</v>
      </c>
      <c r="C57" s="7" t="s">
        <v>62</v>
      </c>
      <c r="D57" s="7" t="s">
        <v>9</v>
      </c>
      <c r="E57" s="7" t="s">
        <v>99</v>
      </c>
      <c r="F57" s="17"/>
      <c r="G57" s="8">
        <v>1519</v>
      </c>
      <c r="H57" s="8">
        <v>142.9</v>
      </c>
      <c r="I57" s="8">
        <v>91</v>
      </c>
      <c r="J57" s="8">
        <v>29</v>
      </c>
      <c r="K57" s="8">
        <v>20.3</v>
      </c>
      <c r="L57" s="12">
        <v>8112</v>
      </c>
      <c r="M57" s="7"/>
    </row>
    <row r="58" spans="1:13" ht="13.5" customHeight="1" x14ac:dyDescent="0.2">
      <c r="A58" s="4">
        <v>45916</v>
      </c>
      <c r="B58" s="6">
        <v>51</v>
      </c>
      <c r="C58" s="7" t="s">
        <v>62</v>
      </c>
      <c r="D58" s="7" t="s">
        <v>4</v>
      </c>
      <c r="E58" s="7" t="s">
        <v>100</v>
      </c>
      <c r="F58" s="17"/>
      <c r="G58" s="8">
        <v>1466</v>
      </c>
      <c r="H58" s="8">
        <v>174.9</v>
      </c>
      <c r="I58" s="8">
        <v>50</v>
      </c>
      <c r="J58" s="8">
        <v>29</v>
      </c>
      <c r="K58" s="8">
        <v>16.600000000000001</v>
      </c>
      <c r="L58" s="12">
        <v>6397</v>
      </c>
      <c r="M58" s="7"/>
    </row>
    <row r="59" spans="1:13" ht="13.5" customHeight="1" x14ac:dyDescent="0.2">
      <c r="A59" s="4">
        <v>45916</v>
      </c>
      <c r="B59" s="6">
        <v>52</v>
      </c>
      <c r="C59" s="7" t="s">
        <v>62</v>
      </c>
      <c r="D59" s="7" t="s">
        <v>5</v>
      </c>
      <c r="E59" s="7" t="s">
        <v>100</v>
      </c>
      <c r="F59" s="17"/>
      <c r="G59" s="8">
        <v>556</v>
      </c>
      <c r="H59" s="8">
        <v>82.8</v>
      </c>
      <c r="I59" s="8">
        <v>73</v>
      </c>
      <c r="J59" s="8">
        <v>23</v>
      </c>
      <c r="K59" s="8">
        <v>27.8</v>
      </c>
      <c r="L59" s="12">
        <v>4064</v>
      </c>
      <c r="M59" s="7"/>
    </row>
    <row r="60" spans="1:13" ht="13.5" customHeight="1" x14ac:dyDescent="0.2">
      <c r="A60" s="4">
        <v>45916</v>
      </c>
      <c r="B60" s="6">
        <v>53</v>
      </c>
      <c r="C60" s="7" t="s">
        <v>62</v>
      </c>
      <c r="D60" s="7" t="s">
        <v>6</v>
      </c>
      <c r="E60" s="7" t="s">
        <v>100</v>
      </c>
      <c r="F60" s="17"/>
      <c r="G60" s="8">
        <v>1018</v>
      </c>
      <c r="H60" s="8">
        <v>109.3</v>
      </c>
      <c r="I60" s="8">
        <v>52</v>
      </c>
      <c r="J60" s="8">
        <v>23</v>
      </c>
      <c r="K60" s="8">
        <v>21</v>
      </c>
      <c r="L60" s="12">
        <v>5637</v>
      </c>
      <c r="M60" s="7"/>
    </row>
    <row r="61" spans="1:13" ht="13.5" customHeight="1" x14ac:dyDescent="0.2">
      <c r="A61" s="4">
        <v>45916</v>
      </c>
      <c r="B61" s="6">
        <v>54</v>
      </c>
      <c r="C61" s="7" t="s">
        <v>62</v>
      </c>
      <c r="D61" s="7" t="s">
        <v>7</v>
      </c>
      <c r="E61" s="7" t="s">
        <v>100</v>
      </c>
      <c r="F61" s="17"/>
      <c r="G61" s="8">
        <v>1281</v>
      </c>
      <c r="H61" s="8">
        <v>103.3</v>
      </c>
      <c r="I61" s="8">
        <v>2</v>
      </c>
      <c r="J61" s="8">
        <v>23</v>
      </c>
      <c r="K61" s="8">
        <v>22.3</v>
      </c>
      <c r="L61" s="12">
        <v>7506</v>
      </c>
      <c r="M61" s="7"/>
    </row>
    <row r="62" spans="1:13" ht="13.5" customHeight="1" x14ac:dyDescent="0.2">
      <c r="A62" s="4">
        <v>45916</v>
      </c>
      <c r="B62" s="6">
        <v>55</v>
      </c>
      <c r="C62" s="7" t="s">
        <v>62</v>
      </c>
      <c r="D62" s="7" t="s">
        <v>8</v>
      </c>
      <c r="E62" s="7" t="s">
        <v>100</v>
      </c>
      <c r="F62" s="17"/>
      <c r="G62" s="8">
        <v>1138</v>
      </c>
      <c r="H62" s="8">
        <v>127.3</v>
      </c>
      <c r="I62" s="8">
        <v>99</v>
      </c>
      <c r="J62" s="8">
        <v>32</v>
      </c>
      <c r="K62" s="8">
        <v>25.1</v>
      </c>
      <c r="L62" s="12">
        <v>7528</v>
      </c>
      <c r="M62" s="7"/>
    </row>
    <row r="63" spans="1:13" ht="13.5" customHeight="1" x14ac:dyDescent="0.2">
      <c r="A63" s="4">
        <v>45916</v>
      </c>
      <c r="B63" s="6">
        <v>56</v>
      </c>
      <c r="C63" s="7" t="s">
        <v>62</v>
      </c>
      <c r="D63" s="7" t="s">
        <v>9</v>
      </c>
      <c r="E63" s="7" t="s">
        <v>100</v>
      </c>
      <c r="F63" s="17"/>
      <c r="G63" s="8">
        <v>1995</v>
      </c>
      <c r="H63" s="8">
        <v>136.1</v>
      </c>
      <c r="I63" s="8">
        <v>37</v>
      </c>
      <c r="J63" s="8">
        <v>24</v>
      </c>
      <c r="K63" s="8">
        <v>17.600000000000001</v>
      </c>
      <c r="L63" s="12">
        <v>9258</v>
      </c>
      <c r="M63" s="7"/>
    </row>
    <row r="64" spans="1:13" ht="13.5" customHeight="1" x14ac:dyDescent="0.2">
      <c r="A64" s="21">
        <v>45950</v>
      </c>
      <c r="B64" s="22">
        <v>57</v>
      </c>
      <c r="C64" s="23" t="s">
        <v>102</v>
      </c>
      <c r="D64" s="23" t="s">
        <v>5</v>
      </c>
      <c r="E64" s="24" t="s">
        <v>97</v>
      </c>
      <c r="F64" s="25"/>
      <c r="G64" s="26">
        <v>664</v>
      </c>
      <c r="H64" s="26">
        <v>329</v>
      </c>
      <c r="I64" s="26">
        <v>39</v>
      </c>
      <c r="J64" s="26">
        <v>112</v>
      </c>
      <c r="K64" s="27">
        <v>34</v>
      </c>
      <c r="L64" s="28">
        <v>5948</v>
      </c>
      <c r="M64" s="7"/>
    </row>
    <row r="65" spans="1:13" ht="13.5" customHeight="1" x14ac:dyDescent="0.2">
      <c r="A65" s="21">
        <v>45950</v>
      </c>
      <c r="B65" s="22">
        <v>58</v>
      </c>
      <c r="C65" s="23" t="s">
        <v>102</v>
      </c>
      <c r="D65" s="23" t="s">
        <v>4</v>
      </c>
      <c r="E65" s="24" t="s">
        <v>97</v>
      </c>
      <c r="F65" s="25"/>
      <c r="G65" s="26">
        <v>1864</v>
      </c>
      <c r="H65" s="26">
        <v>448</v>
      </c>
      <c r="I65" s="26">
        <v>57</v>
      </c>
      <c r="J65" s="26">
        <v>140</v>
      </c>
      <c r="K65" s="27">
        <v>31.3</v>
      </c>
      <c r="L65" s="28">
        <v>15329</v>
      </c>
      <c r="M65" s="7"/>
    </row>
    <row r="66" spans="1:13" ht="13.5" customHeight="1" x14ac:dyDescent="0.2">
      <c r="A66" s="21">
        <v>45950</v>
      </c>
      <c r="B66" s="22">
        <v>59</v>
      </c>
      <c r="C66" s="23" t="s">
        <v>102</v>
      </c>
      <c r="D66" s="23" t="s">
        <v>9</v>
      </c>
      <c r="E66" s="24" t="s">
        <v>97</v>
      </c>
      <c r="F66" s="25"/>
      <c r="G66" s="26">
        <v>1773</v>
      </c>
      <c r="H66" s="26">
        <v>404</v>
      </c>
      <c r="I66" s="26">
        <v>76</v>
      </c>
      <c r="J66" s="26">
        <v>110</v>
      </c>
      <c r="K66" s="27">
        <v>27.2</v>
      </c>
      <c r="L66" s="28">
        <v>12704</v>
      </c>
      <c r="M66" s="7"/>
    </row>
    <row r="67" spans="1:13" ht="13.5" customHeight="1" x14ac:dyDescent="0.2">
      <c r="A67" s="21">
        <v>45950</v>
      </c>
      <c r="B67" s="22">
        <v>60</v>
      </c>
      <c r="C67" s="23" t="s">
        <v>102</v>
      </c>
      <c r="D67" s="23" t="s">
        <v>8</v>
      </c>
      <c r="E67" s="24" t="s">
        <v>97</v>
      </c>
      <c r="F67" s="25"/>
      <c r="G67" s="26">
        <v>1562</v>
      </c>
      <c r="H67" s="26">
        <v>479</v>
      </c>
      <c r="I67" s="26">
        <v>17</v>
      </c>
      <c r="J67" s="26">
        <v>132</v>
      </c>
      <c r="K67" s="27">
        <v>27.6</v>
      </c>
      <c r="L67" s="28">
        <v>11328</v>
      </c>
      <c r="M67" s="7"/>
    </row>
    <row r="68" spans="1:13" ht="13.5" customHeight="1" x14ac:dyDescent="0.2">
      <c r="A68" s="21">
        <v>45950</v>
      </c>
      <c r="B68" s="22">
        <v>61</v>
      </c>
      <c r="C68" s="23" t="s">
        <v>102</v>
      </c>
      <c r="D68" s="23" t="s">
        <v>7</v>
      </c>
      <c r="E68" s="24" t="s">
        <v>97</v>
      </c>
      <c r="F68" s="25"/>
      <c r="G68" s="26">
        <v>1263</v>
      </c>
      <c r="H68" s="26">
        <v>392</v>
      </c>
      <c r="I68" s="26">
        <v>106</v>
      </c>
      <c r="J68" s="26">
        <v>116</v>
      </c>
      <c r="K68" s="27">
        <v>29.6</v>
      </c>
      <c r="L68" s="28">
        <v>9835</v>
      </c>
      <c r="M68" s="7"/>
    </row>
    <row r="69" spans="1:13" ht="13.5" customHeight="1" x14ac:dyDescent="0.2">
      <c r="A69" s="21">
        <v>45950</v>
      </c>
      <c r="B69" s="22">
        <v>62</v>
      </c>
      <c r="C69" s="23" t="s">
        <v>102</v>
      </c>
      <c r="D69" s="23" t="s">
        <v>6</v>
      </c>
      <c r="E69" s="24" t="s">
        <v>97</v>
      </c>
      <c r="F69" s="25"/>
      <c r="G69" s="26">
        <v>946</v>
      </c>
      <c r="H69" s="26">
        <v>258</v>
      </c>
      <c r="I69" s="26">
        <v>25</v>
      </c>
      <c r="J69" s="26">
        <v>105</v>
      </c>
      <c r="K69" s="27">
        <v>40.700000000000003</v>
      </c>
      <c r="L69" s="28">
        <v>10132</v>
      </c>
      <c r="M69" s="7"/>
    </row>
    <row r="70" spans="1:13" ht="13.5" customHeight="1" x14ac:dyDescent="0.2">
      <c r="A70" s="29">
        <v>45950</v>
      </c>
      <c r="B70" s="30">
        <v>63</v>
      </c>
      <c r="C70" s="31" t="s">
        <v>102</v>
      </c>
      <c r="D70" s="31" t="s">
        <v>8</v>
      </c>
      <c r="E70" s="32" t="s">
        <v>98</v>
      </c>
      <c r="F70" s="33"/>
      <c r="G70" s="34">
        <v>1941</v>
      </c>
      <c r="H70" s="34">
        <v>369</v>
      </c>
      <c r="I70" s="34">
        <v>1</v>
      </c>
      <c r="J70" s="34">
        <v>111</v>
      </c>
      <c r="K70" s="27">
        <v>30.1</v>
      </c>
      <c r="L70" s="28">
        <v>15365</v>
      </c>
      <c r="M70" s="7"/>
    </row>
    <row r="71" spans="1:13" ht="13.5" customHeight="1" x14ac:dyDescent="0.2">
      <c r="A71" s="21">
        <v>45950</v>
      </c>
      <c r="B71" s="22">
        <v>64</v>
      </c>
      <c r="C71" s="23" t="s">
        <v>102</v>
      </c>
      <c r="D71" s="23" t="s">
        <v>9</v>
      </c>
      <c r="E71" s="24" t="s">
        <v>98</v>
      </c>
      <c r="F71" s="25"/>
      <c r="G71" s="26">
        <v>2090</v>
      </c>
      <c r="H71" s="26">
        <v>445</v>
      </c>
      <c r="I71" s="26">
        <v>126</v>
      </c>
      <c r="J71" s="26">
        <v>134</v>
      </c>
      <c r="K71" s="27">
        <v>30.1</v>
      </c>
      <c r="L71" s="28">
        <v>16562</v>
      </c>
      <c r="M71" s="7"/>
    </row>
    <row r="72" spans="1:13" ht="13.5" customHeight="1" x14ac:dyDescent="0.2">
      <c r="A72" s="21">
        <v>45950</v>
      </c>
      <c r="B72" s="22">
        <v>65</v>
      </c>
      <c r="C72" s="23" t="s">
        <v>102</v>
      </c>
      <c r="D72" s="23" t="s">
        <v>7</v>
      </c>
      <c r="E72" s="24" t="s">
        <v>98</v>
      </c>
      <c r="F72" s="25"/>
      <c r="G72" s="26">
        <v>1565</v>
      </c>
      <c r="H72" s="26">
        <v>388</v>
      </c>
      <c r="I72" s="26">
        <v>27</v>
      </c>
      <c r="J72" s="26">
        <v>126</v>
      </c>
      <c r="K72" s="27">
        <v>32.5</v>
      </c>
      <c r="L72" s="28">
        <v>13374</v>
      </c>
      <c r="M72" s="7"/>
    </row>
    <row r="73" spans="1:13" ht="13.5" customHeight="1" x14ac:dyDescent="0.2">
      <c r="A73" s="21">
        <v>45950</v>
      </c>
      <c r="B73" s="22">
        <v>66</v>
      </c>
      <c r="C73" s="23" t="s">
        <v>102</v>
      </c>
      <c r="D73" s="23" t="s">
        <v>5</v>
      </c>
      <c r="E73" s="24" t="s">
        <v>98</v>
      </c>
      <c r="F73" s="25"/>
      <c r="G73" s="26">
        <v>917</v>
      </c>
      <c r="H73" s="26">
        <v>214</v>
      </c>
      <c r="I73" s="26">
        <v>33</v>
      </c>
      <c r="J73" s="26">
        <v>68</v>
      </c>
      <c r="K73" s="27">
        <v>31.8</v>
      </c>
      <c r="L73" s="28">
        <v>7668</v>
      </c>
      <c r="M73" s="7"/>
    </row>
    <row r="74" spans="1:13" ht="13.5" customHeight="1" x14ac:dyDescent="0.2">
      <c r="A74" s="21">
        <v>45950</v>
      </c>
      <c r="B74" s="22">
        <v>67</v>
      </c>
      <c r="C74" s="23" t="s">
        <v>102</v>
      </c>
      <c r="D74" s="23" t="s">
        <v>4</v>
      </c>
      <c r="E74" s="24" t="s">
        <v>98</v>
      </c>
      <c r="F74" s="25"/>
      <c r="G74" s="26">
        <v>1662</v>
      </c>
      <c r="H74" s="26">
        <v>354</v>
      </c>
      <c r="I74" s="26">
        <v>93</v>
      </c>
      <c r="J74" s="26">
        <v>107</v>
      </c>
      <c r="K74" s="27">
        <v>30.2</v>
      </c>
      <c r="L74" s="28">
        <v>13220</v>
      </c>
      <c r="M74" s="7"/>
    </row>
    <row r="75" spans="1:13" ht="13.5" customHeight="1" x14ac:dyDescent="0.2">
      <c r="A75" s="21">
        <v>45950</v>
      </c>
      <c r="B75" s="22">
        <v>68</v>
      </c>
      <c r="C75" s="23" t="s">
        <v>102</v>
      </c>
      <c r="D75" s="23" t="s">
        <v>6</v>
      </c>
      <c r="E75" s="24" t="s">
        <v>98</v>
      </c>
      <c r="F75" s="25"/>
      <c r="G75" s="26">
        <v>1223</v>
      </c>
      <c r="H75" s="26">
        <v>453</v>
      </c>
      <c r="I75" s="26">
        <v>65</v>
      </c>
      <c r="J75" s="26">
        <v>131</v>
      </c>
      <c r="K75" s="27">
        <v>28.9</v>
      </c>
      <c r="L75" s="28">
        <v>9307</v>
      </c>
      <c r="M75" s="7"/>
    </row>
    <row r="76" spans="1:13" ht="13.5" customHeight="1" x14ac:dyDescent="0.2">
      <c r="A76" s="21">
        <v>45950</v>
      </c>
      <c r="B76" s="22">
        <v>69</v>
      </c>
      <c r="C76" s="23" t="s">
        <v>102</v>
      </c>
      <c r="D76" s="23" t="s">
        <v>8</v>
      </c>
      <c r="E76" s="24" t="s">
        <v>99</v>
      </c>
      <c r="F76" s="25"/>
      <c r="G76" s="26">
        <v>1475</v>
      </c>
      <c r="H76" s="26">
        <v>327</v>
      </c>
      <c r="I76" s="26">
        <v>10</v>
      </c>
      <c r="J76" s="26">
        <v>93</v>
      </c>
      <c r="K76" s="27">
        <v>28.4</v>
      </c>
      <c r="L76" s="28">
        <v>11039</v>
      </c>
      <c r="M76" s="7"/>
    </row>
    <row r="77" spans="1:13" ht="13.5" customHeight="1" x14ac:dyDescent="0.2">
      <c r="A77" s="21">
        <v>45950</v>
      </c>
      <c r="B77" s="22">
        <v>70</v>
      </c>
      <c r="C77" s="23" t="s">
        <v>102</v>
      </c>
      <c r="D77" s="23" t="s">
        <v>7</v>
      </c>
      <c r="E77" s="24" t="s">
        <v>99</v>
      </c>
      <c r="F77" s="25"/>
      <c r="G77" s="26">
        <v>1827</v>
      </c>
      <c r="H77" s="26">
        <v>398</v>
      </c>
      <c r="I77" s="26">
        <v>95</v>
      </c>
      <c r="J77" s="26">
        <v>112</v>
      </c>
      <c r="K77" s="27">
        <v>28.1</v>
      </c>
      <c r="L77" s="28">
        <v>13530</v>
      </c>
      <c r="M77" s="7"/>
    </row>
    <row r="78" spans="1:13" ht="13.5" customHeight="1" x14ac:dyDescent="0.2">
      <c r="A78" s="21">
        <v>45950</v>
      </c>
      <c r="B78" s="22">
        <v>71</v>
      </c>
      <c r="C78" s="23" t="s">
        <v>102</v>
      </c>
      <c r="D78" s="23" t="s">
        <v>5</v>
      </c>
      <c r="E78" s="24" t="s">
        <v>99</v>
      </c>
      <c r="F78" s="25"/>
      <c r="G78" s="26">
        <v>601</v>
      </c>
      <c r="H78" s="26">
        <v>288</v>
      </c>
      <c r="I78" s="26">
        <v>42</v>
      </c>
      <c r="J78" s="26">
        <v>90</v>
      </c>
      <c r="K78" s="27">
        <v>31.3</v>
      </c>
      <c r="L78" s="28">
        <v>4942</v>
      </c>
      <c r="M78" s="7"/>
    </row>
    <row r="79" spans="1:13" ht="13.5" customHeight="1" x14ac:dyDescent="0.2">
      <c r="A79" s="21">
        <v>45950</v>
      </c>
      <c r="B79" s="22">
        <v>72</v>
      </c>
      <c r="C79" s="23" t="s">
        <v>102</v>
      </c>
      <c r="D79" s="23" t="s">
        <v>4</v>
      </c>
      <c r="E79" s="24" t="s">
        <v>99</v>
      </c>
      <c r="F79" s="25"/>
      <c r="G79" s="26">
        <v>1319</v>
      </c>
      <c r="H79" s="26">
        <v>353</v>
      </c>
      <c r="I79" s="26">
        <v>26</v>
      </c>
      <c r="J79" s="26">
        <v>105</v>
      </c>
      <c r="K79" s="27">
        <v>29.7</v>
      </c>
      <c r="L79" s="28">
        <v>10325</v>
      </c>
      <c r="M79" s="7"/>
    </row>
    <row r="80" spans="1:13" ht="13.5" customHeight="1" x14ac:dyDescent="0.2">
      <c r="A80" s="21">
        <v>45950</v>
      </c>
      <c r="B80" s="22">
        <v>73</v>
      </c>
      <c r="C80" s="23" t="s">
        <v>102</v>
      </c>
      <c r="D80" s="23" t="s">
        <v>6</v>
      </c>
      <c r="E80" s="24" t="s">
        <v>99</v>
      </c>
      <c r="F80" s="25"/>
      <c r="G80" s="26">
        <v>1065</v>
      </c>
      <c r="H80" s="26">
        <v>302</v>
      </c>
      <c r="I80" s="26">
        <v>6</v>
      </c>
      <c r="J80" s="26">
        <v>90</v>
      </c>
      <c r="K80" s="27">
        <v>29.8</v>
      </c>
      <c r="L80" s="28">
        <v>8352</v>
      </c>
      <c r="M80" s="7"/>
    </row>
    <row r="81" spans="1:13" ht="13.5" customHeight="1" x14ac:dyDescent="0.2">
      <c r="A81" s="21">
        <v>45950</v>
      </c>
      <c r="B81" s="22">
        <v>74</v>
      </c>
      <c r="C81" s="23" t="s">
        <v>102</v>
      </c>
      <c r="D81" s="23" t="s">
        <v>9</v>
      </c>
      <c r="E81" s="24" t="s">
        <v>99</v>
      </c>
      <c r="F81" s="25"/>
      <c r="G81" s="26">
        <v>1165</v>
      </c>
      <c r="H81" s="26">
        <v>375</v>
      </c>
      <c r="I81" s="26">
        <v>88</v>
      </c>
      <c r="J81" s="26">
        <v>121</v>
      </c>
      <c r="K81" s="27">
        <v>32.299999999999997</v>
      </c>
      <c r="L81" s="28">
        <v>9892</v>
      </c>
      <c r="M81" s="7"/>
    </row>
    <row r="82" spans="1:13" ht="13.5" customHeight="1" x14ac:dyDescent="0.2">
      <c r="A82" s="21">
        <v>45950</v>
      </c>
      <c r="B82" s="22">
        <v>75</v>
      </c>
      <c r="C82" s="23" t="s">
        <v>102</v>
      </c>
      <c r="D82" s="23" t="s">
        <v>4</v>
      </c>
      <c r="E82" s="24" t="s">
        <v>100</v>
      </c>
      <c r="F82" s="25"/>
      <c r="G82" s="26">
        <v>1682</v>
      </c>
      <c r="H82" s="26">
        <v>326</v>
      </c>
      <c r="I82" s="26">
        <v>22</v>
      </c>
      <c r="J82" s="26">
        <v>85</v>
      </c>
      <c r="K82" s="27">
        <v>26.1</v>
      </c>
      <c r="L82" s="28">
        <v>11541</v>
      </c>
      <c r="M82" s="7"/>
    </row>
    <row r="83" spans="1:13" ht="13.5" customHeight="1" x14ac:dyDescent="0.2">
      <c r="A83" s="21">
        <v>45950</v>
      </c>
      <c r="B83" s="22">
        <v>76</v>
      </c>
      <c r="C83" s="23" t="s">
        <v>102</v>
      </c>
      <c r="D83" s="23" t="s">
        <v>5</v>
      </c>
      <c r="E83" s="24" t="s">
        <v>100</v>
      </c>
      <c r="F83" s="25"/>
      <c r="G83" s="26">
        <v>909</v>
      </c>
      <c r="H83" s="26">
        <v>286</v>
      </c>
      <c r="I83" s="26">
        <v>2</v>
      </c>
      <c r="J83" s="26">
        <v>94</v>
      </c>
      <c r="K83" s="27">
        <v>32.9</v>
      </c>
      <c r="L83" s="28">
        <v>7862</v>
      </c>
      <c r="M83" s="7"/>
    </row>
    <row r="84" spans="1:13" ht="13.5" customHeight="1" x14ac:dyDescent="0.2">
      <c r="A84" s="21">
        <v>45950</v>
      </c>
      <c r="B84" s="22">
        <v>77</v>
      </c>
      <c r="C84" s="23" t="s">
        <v>102</v>
      </c>
      <c r="D84" s="23" t="s">
        <v>6</v>
      </c>
      <c r="E84" s="24" t="s">
        <v>100</v>
      </c>
      <c r="F84" s="25"/>
      <c r="G84" s="26">
        <v>1602</v>
      </c>
      <c r="H84" s="26">
        <v>278</v>
      </c>
      <c r="I84" s="26">
        <v>47</v>
      </c>
      <c r="J84" s="26">
        <v>75</v>
      </c>
      <c r="K84" s="27">
        <v>27</v>
      </c>
      <c r="L84" s="28">
        <v>11374</v>
      </c>
      <c r="M84" s="7"/>
    </row>
    <row r="85" spans="1:13" ht="13.5" customHeight="1" x14ac:dyDescent="0.2">
      <c r="A85" s="21">
        <v>45950</v>
      </c>
      <c r="B85" s="22">
        <v>78</v>
      </c>
      <c r="C85" s="23" t="s">
        <v>102</v>
      </c>
      <c r="D85" s="23" t="s">
        <v>7</v>
      </c>
      <c r="E85" s="24" t="s">
        <v>100</v>
      </c>
      <c r="F85" s="25"/>
      <c r="G85" s="26">
        <v>1549</v>
      </c>
      <c r="H85" s="26">
        <v>415</v>
      </c>
      <c r="I85" s="26">
        <v>85</v>
      </c>
      <c r="J85" s="26">
        <v>111</v>
      </c>
      <c r="K85" s="27">
        <v>26.7</v>
      </c>
      <c r="L85" s="28">
        <v>10903</v>
      </c>
      <c r="M85" s="7"/>
    </row>
    <row r="86" spans="1:13" ht="13.5" customHeight="1" x14ac:dyDescent="0.2">
      <c r="A86" s="21">
        <v>45950</v>
      </c>
      <c r="B86" s="22">
        <v>79</v>
      </c>
      <c r="C86" s="23" t="s">
        <v>102</v>
      </c>
      <c r="D86" s="23" t="s">
        <v>8</v>
      </c>
      <c r="E86" s="24" t="s">
        <v>100</v>
      </c>
      <c r="F86" s="25"/>
      <c r="G86" s="26">
        <v>1919</v>
      </c>
      <c r="H86" s="26">
        <v>412</v>
      </c>
      <c r="I86" s="26">
        <v>61</v>
      </c>
      <c r="J86" s="26">
        <v>128</v>
      </c>
      <c r="K86" s="27">
        <v>31.1</v>
      </c>
      <c r="L86" s="28">
        <v>15689</v>
      </c>
      <c r="M86" s="7"/>
    </row>
    <row r="87" spans="1:13" ht="13.5" customHeight="1" x14ac:dyDescent="0.2">
      <c r="A87" s="21">
        <v>45950</v>
      </c>
      <c r="B87" s="22">
        <v>80</v>
      </c>
      <c r="C87" s="23" t="s">
        <v>102</v>
      </c>
      <c r="D87" s="23" t="s">
        <v>9</v>
      </c>
      <c r="E87" s="24" t="s">
        <v>100</v>
      </c>
      <c r="F87" s="25"/>
      <c r="G87" s="26">
        <v>1578</v>
      </c>
      <c r="H87" s="26">
        <v>351</v>
      </c>
      <c r="I87" s="26">
        <v>70</v>
      </c>
      <c r="J87" s="26">
        <v>104</v>
      </c>
      <c r="K87" s="27">
        <v>29.6</v>
      </c>
      <c r="L87" s="28">
        <v>12304</v>
      </c>
      <c r="M87" s="7"/>
    </row>
    <row r="88" spans="1:13" ht="13.5" customHeight="1" x14ac:dyDescent="0.2">
      <c r="A88" s="21">
        <v>45950</v>
      </c>
      <c r="B88" s="22">
        <v>81</v>
      </c>
      <c r="C88" s="23" t="s">
        <v>62</v>
      </c>
      <c r="D88" s="23" t="s">
        <v>5</v>
      </c>
      <c r="E88" s="24" t="s">
        <v>97</v>
      </c>
      <c r="F88" s="25"/>
      <c r="G88" s="26">
        <v>677</v>
      </c>
      <c r="H88" s="26">
        <v>257</v>
      </c>
      <c r="I88" s="26">
        <v>59</v>
      </c>
      <c r="J88" s="26">
        <v>79</v>
      </c>
      <c r="K88" s="27">
        <v>30.7</v>
      </c>
      <c r="L88" s="28">
        <v>5476</v>
      </c>
      <c r="M88" s="7"/>
    </row>
    <row r="89" spans="1:13" ht="13.5" customHeight="1" x14ac:dyDescent="0.2">
      <c r="A89" s="21">
        <v>45950</v>
      </c>
      <c r="B89" s="22">
        <v>82</v>
      </c>
      <c r="C89" s="23" t="s">
        <v>62</v>
      </c>
      <c r="D89" s="23" t="s">
        <v>4</v>
      </c>
      <c r="E89" s="24" t="s">
        <v>97</v>
      </c>
      <c r="F89" s="25"/>
      <c r="G89" s="26">
        <v>2084</v>
      </c>
      <c r="H89" s="26">
        <v>346</v>
      </c>
      <c r="I89" s="26">
        <v>43</v>
      </c>
      <c r="J89" s="26">
        <v>85</v>
      </c>
      <c r="K89" s="27">
        <v>24.6</v>
      </c>
      <c r="L89" s="28">
        <v>13473</v>
      </c>
      <c r="M89" s="7"/>
    </row>
    <row r="90" spans="1:13" ht="13.5" customHeight="1" x14ac:dyDescent="0.2">
      <c r="A90" s="21">
        <v>45950</v>
      </c>
      <c r="B90" s="22">
        <v>83</v>
      </c>
      <c r="C90" s="23" t="s">
        <v>62</v>
      </c>
      <c r="D90" s="23" t="s">
        <v>9</v>
      </c>
      <c r="E90" s="24" t="s">
        <v>97</v>
      </c>
      <c r="F90" s="25"/>
      <c r="G90" s="26">
        <v>1698</v>
      </c>
      <c r="H90" s="26">
        <v>376</v>
      </c>
      <c r="I90" s="26">
        <v>68</v>
      </c>
      <c r="J90" s="26">
        <v>93</v>
      </c>
      <c r="K90" s="27">
        <v>24.7</v>
      </c>
      <c r="L90" s="28">
        <v>11052</v>
      </c>
      <c r="M90" s="7"/>
    </row>
    <row r="91" spans="1:13" ht="13.5" customHeight="1" x14ac:dyDescent="0.2">
      <c r="A91" s="21">
        <v>45950</v>
      </c>
      <c r="B91" s="22">
        <v>84</v>
      </c>
      <c r="C91" s="23" t="s">
        <v>62</v>
      </c>
      <c r="D91" s="23" t="s">
        <v>8</v>
      </c>
      <c r="E91" s="24" t="s">
        <v>97</v>
      </c>
      <c r="F91" s="25"/>
      <c r="G91" s="26">
        <v>1536</v>
      </c>
      <c r="H91" s="26">
        <v>349</v>
      </c>
      <c r="I91" s="26">
        <v>84</v>
      </c>
      <c r="J91" s="26">
        <v>93</v>
      </c>
      <c r="K91" s="27">
        <v>26.6</v>
      </c>
      <c r="L91" s="28">
        <v>10771</v>
      </c>
      <c r="M91" s="7"/>
    </row>
    <row r="92" spans="1:13" ht="13.5" customHeight="1" x14ac:dyDescent="0.2">
      <c r="A92" s="21">
        <v>45950</v>
      </c>
      <c r="B92" s="22">
        <v>85</v>
      </c>
      <c r="C92" s="23" t="s">
        <v>62</v>
      </c>
      <c r="D92" s="23" t="s">
        <v>7</v>
      </c>
      <c r="E92" s="24" t="s">
        <v>97</v>
      </c>
      <c r="F92" s="25"/>
      <c r="G92" s="26">
        <v>1673</v>
      </c>
      <c r="H92" s="26">
        <v>385</v>
      </c>
      <c r="I92" s="26">
        <v>44</v>
      </c>
      <c r="J92" s="26">
        <v>91</v>
      </c>
      <c r="K92" s="27">
        <v>23.6</v>
      </c>
      <c r="L92" s="28">
        <v>10406</v>
      </c>
      <c r="M92" s="7"/>
    </row>
    <row r="93" spans="1:13" ht="13.5" customHeight="1" x14ac:dyDescent="0.2">
      <c r="A93" s="21">
        <v>45950</v>
      </c>
      <c r="B93" s="22">
        <v>86</v>
      </c>
      <c r="C93" s="23" t="s">
        <v>62</v>
      </c>
      <c r="D93" s="23" t="s">
        <v>6</v>
      </c>
      <c r="E93" s="24" t="s">
        <v>97</v>
      </c>
      <c r="F93" s="25"/>
      <c r="G93" s="26">
        <v>1507</v>
      </c>
      <c r="H93" s="26">
        <v>385</v>
      </c>
      <c r="I93" s="26">
        <v>15</v>
      </c>
      <c r="J93" s="26">
        <v>90</v>
      </c>
      <c r="K93" s="27">
        <v>23.4</v>
      </c>
      <c r="L93" s="28">
        <v>9271</v>
      </c>
      <c r="M93" s="7"/>
    </row>
    <row r="94" spans="1:13" ht="13.5" customHeight="1" x14ac:dyDescent="0.2">
      <c r="A94" s="21">
        <v>45950</v>
      </c>
      <c r="B94" s="22">
        <v>87</v>
      </c>
      <c r="C94" s="23" t="s">
        <v>62</v>
      </c>
      <c r="D94" s="23" t="s">
        <v>8</v>
      </c>
      <c r="E94" s="24" t="s">
        <v>98</v>
      </c>
      <c r="F94" s="25"/>
      <c r="G94" s="26">
        <v>1564</v>
      </c>
      <c r="H94" s="26">
        <v>328</v>
      </c>
      <c r="I94" s="26">
        <v>107</v>
      </c>
      <c r="J94" s="26">
        <v>88</v>
      </c>
      <c r="K94" s="27">
        <v>26.8</v>
      </c>
      <c r="L94" s="28">
        <v>11042</v>
      </c>
      <c r="M94" s="7"/>
    </row>
    <row r="95" spans="1:13" ht="13.5" customHeight="1" x14ac:dyDescent="0.2">
      <c r="A95" s="21">
        <v>45950</v>
      </c>
      <c r="B95" s="22">
        <v>88</v>
      </c>
      <c r="C95" s="23" t="s">
        <v>62</v>
      </c>
      <c r="D95" s="23" t="s">
        <v>9</v>
      </c>
      <c r="E95" s="24" t="s">
        <v>98</v>
      </c>
      <c r="F95" s="25"/>
      <c r="G95" s="26">
        <v>1766</v>
      </c>
      <c r="H95" s="26">
        <v>337</v>
      </c>
      <c r="I95" s="26">
        <v>40</v>
      </c>
      <c r="J95" s="26">
        <v>84</v>
      </c>
      <c r="K95" s="27">
        <v>24.9</v>
      </c>
      <c r="L95" s="28">
        <v>11584</v>
      </c>
      <c r="M95" s="7"/>
    </row>
    <row r="96" spans="1:13" ht="13.5" customHeight="1" x14ac:dyDescent="0.2">
      <c r="A96" s="21">
        <v>45950</v>
      </c>
      <c r="B96" s="22">
        <v>89</v>
      </c>
      <c r="C96" s="23" t="s">
        <v>62</v>
      </c>
      <c r="D96" s="23" t="s">
        <v>7</v>
      </c>
      <c r="E96" s="24" t="s">
        <v>98</v>
      </c>
      <c r="F96" s="25"/>
      <c r="G96" s="26">
        <v>1685</v>
      </c>
      <c r="H96" s="26">
        <v>308</v>
      </c>
      <c r="I96" s="26">
        <v>105</v>
      </c>
      <c r="J96" s="26">
        <v>73</v>
      </c>
      <c r="K96" s="27">
        <v>23.7</v>
      </c>
      <c r="L96" s="28">
        <v>10510</v>
      </c>
      <c r="M96" s="7"/>
    </row>
    <row r="97" spans="1:13" ht="13.5" customHeight="1" x14ac:dyDescent="0.2">
      <c r="A97" s="21">
        <v>45950</v>
      </c>
      <c r="B97" s="22">
        <v>90</v>
      </c>
      <c r="C97" s="23" t="s">
        <v>62</v>
      </c>
      <c r="D97" s="23" t="s">
        <v>5</v>
      </c>
      <c r="E97" s="24" t="s">
        <v>98</v>
      </c>
      <c r="F97" s="25"/>
      <c r="G97" s="26">
        <v>746</v>
      </c>
      <c r="H97" s="26">
        <v>219</v>
      </c>
      <c r="I97" s="26">
        <v>117</v>
      </c>
      <c r="J97" s="26">
        <v>66</v>
      </c>
      <c r="K97" s="27">
        <v>30.1</v>
      </c>
      <c r="L97" s="28">
        <v>5916</v>
      </c>
      <c r="M97" s="7"/>
    </row>
    <row r="98" spans="1:13" ht="13.5" customHeight="1" x14ac:dyDescent="0.2">
      <c r="A98" s="21">
        <v>45950</v>
      </c>
      <c r="B98" s="22">
        <v>91</v>
      </c>
      <c r="C98" s="23" t="s">
        <v>62</v>
      </c>
      <c r="D98" s="23" t="s">
        <v>4</v>
      </c>
      <c r="E98" s="24" t="s">
        <v>98</v>
      </c>
      <c r="F98" s="25"/>
      <c r="G98" s="26">
        <v>2400</v>
      </c>
      <c r="H98" s="26">
        <v>469</v>
      </c>
      <c r="I98" s="26">
        <v>31</v>
      </c>
      <c r="J98" s="26">
        <v>98</v>
      </c>
      <c r="K98" s="27">
        <v>20.9</v>
      </c>
      <c r="L98" s="28">
        <v>13197</v>
      </c>
      <c r="M98" s="7"/>
    </row>
    <row r="99" spans="1:13" ht="13.5" customHeight="1" x14ac:dyDescent="0.2">
      <c r="A99" s="21">
        <v>45950</v>
      </c>
      <c r="B99" s="22">
        <v>92</v>
      </c>
      <c r="C99" s="23" t="s">
        <v>62</v>
      </c>
      <c r="D99" s="23" t="s">
        <v>6</v>
      </c>
      <c r="E99" s="24" t="s">
        <v>98</v>
      </c>
      <c r="F99" s="25"/>
      <c r="G99" s="26">
        <v>1605</v>
      </c>
      <c r="H99" s="26">
        <v>376</v>
      </c>
      <c r="I99" s="26">
        <v>98</v>
      </c>
      <c r="J99" s="26">
        <v>85</v>
      </c>
      <c r="K99" s="27">
        <v>22.6</v>
      </c>
      <c r="L99" s="28">
        <v>9548</v>
      </c>
      <c r="M99" s="7"/>
    </row>
    <row r="100" spans="1:13" ht="13.5" customHeight="1" x14ac:dyDescent="0.2">
      <c r="A100" s="21">
        <v>45950</v>
      </c>
      <c r="B100" s="22">
        <v>93</v>
      </c>
      <c r="C100" s="23" t="s">
        <v>62</v>
      </c>
      <c r="D100" s="23" t="s">
        <v>8</v>
      </c>
      <c r="E100" s="24" t="s">
        <v>99</v>
      </c>
      <c r="F100" s="25"/>
      <c r="G100" s="26">
        <v>2079</v>
      </c>
      <c r="H100" s="26">
        <v>280</v>
      </c>
      <c r="I100" s="26">
        <v>9</v>
      </c>
      <c r="J100" s="26">
        <v>76</v>
      </c>
      <c r="K100" s="27">
        <v>27.1</v>
      </c>
      <c r="L100" s="28">
        <v>14850</v>
      </c>
      <c r="M100" s="7"/>
    </row>
    <row r="101" spans="1:13" ht="13.5" customHeight="1" x14ac:dyDescent="0.2">
      <c r="A101" s="21">
        <v>45950</v>
      </c>
      <c r="B101" s="22">
        <v>94</v>
      </c>
      <c r="C101" s="23" t="s">
        <v>62</v>
      </c>
      <c r="D101" s="23" t="s">
        <v>7</v>
      </c>
      <c r="E101" s="24" t="s">
        <v>99</v>
      </c>
      <c r="F101" s="25"/>
      <c r="G101" s="26">
        <v>2186</v>
      </c>
      <c r="H101" s="26">
        <v>250</v>
      </c>
      <c r="I101" s="26">
        <v>36</v>
      </c>
      <c r="J101" s="26">
        <v>63</v>
      </c>
      <c r="K101" s="27">
        <v>25.2</v>
      </c>
      <c r="L101" s="28">
        <v>14497</v>
      </c>
      <c r="M101" s="7"/>
    </row>
    <row r="102" spans="1:13" ht="13.5" customHeight="1" x14ac:dyDescent="0.2">
      <c r="A102" s="21">
        <v>45950</v>
      </c>
      <c r="B102" s="22">
        <v>95</v>
      </c>
      <c r="C102" s="23" t="s">
        <v>62</v>
      </c>
      <c r="D102" s="23" t="s">
        <v>5</v>
      </c>
      <c r="E102" s="24" t="s">
        <v>99</v>
      </c>
      <c r="F102" s="25"/>
      <c r="G102" s="26">
        <v>735</v>
      </c>
      <c r="H102" s="26">
        <v>289</v>
      </c>
      <c r="I102" s="26">
        <v>34</v>
      </c>
      <c r="J102" s="26">
        <v>83</v>
      </c>
      <c r="K102" s="27">
        <v>28.7</v>
      </c>
      <c r="L102" s="28">
        <v>5555</v>
      </c>
      <c r="M102" s="7"/>
    </row>
    <row r="103" spans="1:13" ht="13.5" customHeight="1" x14ac:dyDescent="0.2">
      <c r="A103" s="21">
        <v>45950</v>
      </c>
      <c r="B103" s="22">
        <v>96</v>
      </c>
      <c r="C103" s="23" t="s">
        <v>62</v>
      </c>
      <c r="D103" s="23" t="s">
        <v>4</v>
      </c>
      <c r="E103" s="24" t="s">
        <v>99</v>
      </c>
      <c r="F103" s="25"/>
      <c r="G103" s="26">
        <v>2067</v>
      </c>
      <c r="H103" s="26">
        <v>381</v>
      </c>
      <c r="I103" s="26">
        <v>56</v>
      </c>
      <c r="J103" s="26">
        <v>81</v>
      </c>
      <c r="K103" s="27">
        <v>21.3</v>
      </c>
      <c r="L103" s="28">
        <v>11564</v>
      </c>
      <c r="M103" s="7"/>
    </row>
    <row r="104" spans="1:13" ht="13.5" customHeight="1" x14ac:dyDescent="0.2">
      <c r="A104" s="21">
        <v>45950</v>
      </c>
      <c r="B104" s="22">
        <v>97</v>
      </c>
      <c r="C104" s="23" t="s">
        <v>62</v>
      </c>
      <c r="D104" s="23" t="s">
        <v>6</v>
      </c>
      <c r="E104" s="24" t="s">
        <v>99</v>
      </c>
      <c r="F104" s="25"/>
      <c r="G104" s="26">
        <v>1627</v>
      </c>
      <c r="H104" s="26">
        <v>366</v>
      </c>
      <c r="I104" s="26">
        <v>28</v>
      </c>
      <c r="J104" s="26">
        <v>80</v>
      </c>
      <c r="K104" s="27">
        <v>21.9</v>
      </c>
      <c r="L104" s="28">
        <v>9359</v>
      </c>
      <c r="M104" s="7"/>
    </row>
    <row r="105" spans="1:13" ht="13.5" customHeight="1" x14ac:dyDescent="0.2">
      <c r="A105" s="21">
        <v>45950</v>
      </c>
      <c r="B105" s="22">
        <v>98</v>
      </c>
      <c r="C105" s="23" t="s">
        <v>62</v>
      </c>
      <c r="D105" s="23" t="s">
        <v>9</v>
      </c>
      <c r="E105" s="24" t="s">
        <v>99</v>
      </c>
      <c r="F105" s="25"/>
      <c r="G105" s="26">
        <v>1743</v>
      </c>
      <c r="H105" s="26">
        <v>373</v>
      </c>
      <c r="I105" s="26">
        <v>37</v>
      </c>
      <c r="J105" s="26">
        <v>101</v>
      </c>
      <c r="K105" s="27">
        <v>27.1</v>
      </c>
      <c r="L105" s="28">
        <v>12420</v>
      </c>
      <c r="M105" s="7"/>
    </row>
    <row r="106" spans="1:13" ht="13.5" customHeight="1" x14ac:dyDescent="0.2">
      <c r="A106" s="21">
        <v>45950</v>
      </c>
      <c r="B106" s="22">
        <v>99</v>
      </c>
      <c r="C106" s="23" t="s">
        <v>62</v>
      </c>
      <c r="D106" s="23" t="s">
        <v>4</v>
      </c>
      <c r="E106" s="24" t="s">
        <v>100</v>
      </c>
      <c r="F106" s="25"/>
      <c r="G106" s="26">
        <v>2651</v>
      </c>
      <c r="H106" s="26">
        <v>412</v>
      </c>
      <c r="I106" s="26">
        <v>86</v>
      </c>
      <c r="J106" s="26">
        <v>93</v>
      </c>
      <c r="K106" s="27">
        <v>22.6</v>
      </c>
      <c r="L106" s="28">
        <v>15748</v>
      </c>
      <c r="M106" s="7"/>
    </row>
    <row r="107" spans="1:13" ht="13.5" customHeight="1" x14ac:dyDescent="0.2">
      <c r="A107" s="21">
        <v>45950</v>
      </c>
      <c r="B107" s="22">
        <v>100</v>
      </c>
      <c r="C107" s="23" t="s">
        <v>62</v>
      </c>
      <c r="D107" s="23" t="s">
        <v>5</v>
      </c>
      <c r="E107" s="24" t="s">
        <v>100</v>
      </c>
      <c r="F107" s="25"/>
      <c r="G107" s="26">
        <v>861</v>
      </c>
      <c r="H107" s="26">
        <v>302</v>
      </c>
      <c r="I107" s="26">
        <v>71</v>
      </c>
      <c r="J107" s="26">
        <v>89</v>
      </c>
      <c r="K107" s="27">
        <v>29.5</v>
      </c>
      <c r="L107" s="28">
        <v>6677</v>
      </c>
      <c r="M107" s="7"/>
    </row>
    <row r="108" spans="1:13" ht="13.5" customHeight="1" x14ac:dyDescent="0.2">
      <c r="A108" s="21">
        <v>45950</v>
      </c>
      <c r="B108" s="22">
        <v>101</v>
      </c>
      <c r="C108" s="23" t="s">
        <v>62</v>
      </c>
      <c r="D108" s="23" t="s">
        <v>6</v>
      </c>
      <c r="E108" s="24" t="s">
        <v>100</v>
      </c>
      <c r="F108" s="25"/>
      <c r="G108" s="26">
        <v>2052</v>
      </c>
      <c r="H108" s="26">
        <v>349</v>
      </c>
      <c r="I108" s="26">
        <v>67</v>
      </c>
      <c r="J108" s="26">
        <v>82</v>
      </c>
      <c r="K108" s="27">
        <v>23.5</v>
      </c>
      <c r="L108" s="28">
        <v>12688</v>
      </c>
      <c r="M108" s="7"/>
    </row>
    <row r="109" spans="1:13" ht="13.5" customHeight="1" x14ac:dyDescent="0.2">
      <c r="A109" s="21">
        <v>45950</v>
      </c>
      <c r="B109" s="22">
        <v>102</v>
      </c>
      <c r="C109" s="23" t="s">
        <v>62</v>
      </c>
      <c r="D109" s="23" t="s">
        <v>7</v>
      </c>
      <c r="E109" s="24" t="s">
        <v>100</v>
      </c>
      <c r="F109" s="25"/>
      <c r="G109" s="26">
        <v>1654</v>
      </c>
      <c r="H109" s="26">
        <v>461</v>
      </c>
      <c r="I109" s="26">
        <v>63</v>
      </c>
      <c r="J109" s="26">
        <v>108</v>
      </c>
      <c r="K109" s="27">
        <v>23.4</v>
      </c>
      <c r="L109" s="28">
        <v>10197</v>
      </c>
      <c r="M109" s="7"/>
    </row>
    <row r="110" spans="1:13" ht="13.5" customHeight="1" x14ac:dyDescent="0.2">
      <c r="A110" s="21">
        <v>45950</v>
      </c>
      <c r="B110" s="35">
        <v>103</v>
      </c>
      <c r="C110" s="23" t="s">
        <v>62</v>
      </c>
      <c r="D110" s="23" t="s">
        <v>8</v>
      </c>
      <c r="E110" s="24" t="s">
        <v>100</v>
      </c>
      <c r="F110" s="25"/>
      <c r="G110" s="26">
        <v>1335</v>
      </c>
      <c r="H110" s="26">
        <v>377</v>
      </c>
      <c r="I110" s="26">
        <v>132</v>
      </c>
      <c r="J110" s="26">
        <v>105</v>
      </c>
      <c r="K110" s="27">
        <v>27.9</v>
      </c>
      <c r="L110" s="28">
        <v>9785</v>
      </c>
      <c r="M110" s="7"/>
    </row>
    <row r="111" spans="1:13" ht="13.5" customHeight="1" x14ac:dyDescent="0.2">
      <c r="A111" s="36">
        <v>45950</v>
      </c>
      <c r="B111" s="37">
        <v>104</v>
      </c>
      <c r="C111" s="38" t="s">
        <v>62</v>
      </c>
      <c r="D111" s="23" t="s">
        <v>9</v>
      </c>
      <c r="E111" s="24" t="s">
        <v>100</v>
      </c>
      <c r="F111" s="39"/>
      <c r="G111" s="40">
        <v>1827</v>
      </c>
      <c r="H111" s="40">
        <v>365</v>
      </c>
      <c r="I111" s="40">
        <v>20</v>
      </c>
      <c r="J111" s="40">
        <v>107</v>
      </c>
      <c r="K111" s="27">
        <v>29.3</v>
      </c>
      <c r="L111" s="28">
        <v>14094</v>
      </c>
      <c r="M111" s="7"/>
    </row>
    <row r="112" spans="1:13" x14ac:dyDescent="0.2">
      <c r="A112" s="36">
        <v>45973</v>
      </c>
      <c r="B112" s="35">
        <v>105</v>
      </c>
      <c r="C112" s="23" t="s">
        <v>102</v>
      </c>
      <c r="D112" s="23" t="s">
        <v>5</v>
      </c>
      <c r="E112" s="24" t="s">
        <v>97</v>
      </c>
      <c r="F112" s="7"/>
      <c r="G112" s="41">
        <v>1363</v>
      </c>
      <c r="H112" s="41">
        <v>308</v>
      </c>
      <c r="I112" s="42">
        <v>87</v>
      </c>
      <c r="J112" s="41">
        <v>82</v>
      </c>
      <c r="K112" s="42">
        <v>28.5</v>
      </c>
      <c r="L112" s="13">
        <f t="shared" ref="L112:L159" si="1">+((G112*(100/$K$3))*(K112/100))*10</f>
        <v>10222.5</v>
      </c>
      <c r="M112" s="7"/>
    </row>
    <row r="113" spans="1:13" x14ac:dyDescent="0.2">
      <c r="A113" s="36">
        <v>45973</v>
      </c>
      <c r="B113" s="37">
        <v>106</v>
      </c>
      <c r="C113" s="23" t="s">
        <v>102</v>
      </c>
      <c r="D113" s="23" t="s">
        <v>4</v>
      </c>
      <c r="E113" s="24" t="s">
        <v>97</v>
      </c>
      <c r="F113" s="7"/>
      <c r="G113" s="41">
        <v>2246</v>
      </c>
      <c r="H113" s="41">
        <v>630</v>
      </c>
      <c r="I113" s="42">
        <v>91</v>
      </c>
      <c r="J113" s="41">
        <v>135</v>
      </c>
      <c r="K113" s="42">
        <v>22.2</v>
      </c>
      <c r="L113" s="13">
        <f t="shared" si="1"/>
        <v>13121.368421052632</v>
      </c>
      <c r="M113" s="7"/>
    </row>
    <row r="114" spans="1:13" x14ac:dyDescent="0.2">
      <c r="A114" s="36">
        <v>45973</v>
      </c>
      <c r="B114" s="35">
        <v>107</v>
      </c>
      <c r="C114" s="23" t="s">
        <v>102</v>
      </c>
      <c r="D114" s="23" t="s">
        <v>9</v>
      </c>
      <c r="E114" s="24" t="s">
        <v>97</v>
      </c>
      <c r="F114" s="7"/>
      <c r="G114" s="41">
        <v>2350</v>
      </c>
      <c r="H114" s="41">
        <v>430</v>
      </c>
      <c r="I114" s="42">
        <v>17</v>
      </c>
      <c r="J114" s="41">
        <v>87</v>
      </c>
      <c r="K114" s="42">
        <v>21.1</v>
      </c>
      <c r="L114" s="13">
        <f t="shared" si="1"/>
        <v>13048.684210526319</v>
      </c>
      <c r="M114" s="7"/>
    </row>
    <row r="115" spans="1:13" x14ac:dyDescent="0.2">
      <c r="A115" s="36">
        <v>45973</v>
      </c>
      <c r="B115" s="37">
        <v>108</v>
      </c>
      <c r="C115" s="23" t="s">
        <v>102</v>
      </c>
      <c r="D115" s="23" t="s">
        <v>8</v>
      </c>
      <c r="E115" s="24" t="s">
        <v>97</v>
      </c>
      <c r="F115" s="7"/>
      <c r="G115" s="41">
        <v>1988</v>
      </c>
      <c r="H115" s="41">
        <v>358</v>
      </c>
      <c r="I115" s="42">
        <v>60</v>
      </c>
      <c r="J115" s="41">
        <v>91</v>
      </c>
      <c r="K115" s="42">
        <v>26.8</v>
      </c>
      <c r="L115" s="13">
        <f t="shared" si="1"/>
        <v>14020.63157894737</v>
      </c>
      <c r="M115" s="7"/>
    </row>
    <row r="116" spans="1:13" x14ac:dyDescent="0.2">
      <c r="A116" s="36">
        <v>45973</v>
      </c>
      <c r="B116" s="35">
        <v>109</v>
      </c>
      <c r="C116" s="23" t="s">
        <v>102</v>
      </c>
      <c r="D116" s="23" t="s">
        <v>7</v>
      </c>
      <c r="E116" s="24" t="s">
        <v>97</v>
      </c>
      <c r="F116" s="7"/>
      <c r="G116" s="41">
        <v>1410</v>
      </c>
      <c r="H116" s="41">
        <v>296</v>
      </c>
      <c r="I116" s="42">
        <v>62</v>
      </c>
      <c r="J116" s="41">
        <v>68</v>
      </c>
      <c r="K116" s="42">
        <v>24.5</v>
      </c>
      <c r="L116" s="13">
        <f t="shared" si="1"/>
        <v>9090.78947368421</v>
      </c>
      <c r="M116" s="7"/>
    </row>
    <row r="117" spans="1:13" x14ac:dyDescent="0.2">
      <c r="A117" s="36">
        <v>45973</v>
      </c>
      <c r="B117" s="37">
        <v>110</v>
      </c>
      <c r="C117" s="23" t="s">
        <v>102</v>
      </c>
      <c r="D117" s="23" t="s">
        <v>6</v>
      </c>
      <c r="E117" s="24" t="s">
        <v>97</v>
      </c>
      <c r="F117" s="7"/>
      <c r="G117" s="41">
        <v>1477</v>
      </c>
      <c r="H117" s="41">
        <v>595</v>
      </c>
      <c r="I117" s="42">
        <v>67</v>
      </c>
      <c r="J117" s="41">
        <v>145</v>
      </c>
      <c r="K117" s="42">
        <v>25.8</v>
      </c>
      <c r="L117" s="13">
        <f t="shared" si="1"/>
        <v>10028.052631578948</v>
      </c>
      <c r="M117" s="7"/>
    </row>
    <row r="118" spans="1:13" x14ac:dyDescent="0.2">
      <c r="A118" s="36">
        <v>45973</v>
      </c>
      <c r="B118" s="35">
        <v>111</v>
      </c>
      <c r="C118" s="31" t="s">
        <v>102</v>
      </c>
      <c r="D118" s="31" t="s">
        <v>8</v>
      </c>
      <c r="E118" s="32" t="s">
        <v>98</v>
      </c>
      <c r="F118" s="7"/>
      <c r="G118" s="41">
        <v>2133</v>
      </c>
      <c r="H118" s="41">
        <v>489</v>
      </c>
      <c r="I118" s="42">
        <v>65</v>
      </c>
      <c r="J118" s="41">
        <v>105</v>
      </c>
      <c r="K118" s="42">
        <v>22.4</v>
      </c>
      <c r="L118" s="13">
        <f t="shared" si="1"/>
        <v>12573.473684210527</v>
      </c>
      <c r="M118" s="7"/>
    </row>
    <row r="119" spans="1:13" x14ac:dyDescent="0.2">
      <c r="A119" s="36">
        <v>45973</v>
      </c>
      <c r="B119" s="37">
        <v>112</v>
      </c>
      <c r="C119" s="23" t="s">
        <v>102</v>
      </c>
      <c r="D119" s="23" t="s">
        <v>9</v>
      </c>
      <c r="E119" s="24" t="s">
        <v>98</v>
      </c>
      <c r="F119" s="7"/>
      <c r="G119" s="41">
        <v>2504</v>
      </c>
      <c r="H119" s="41">
        <v>552</v>
      </c>
      <c r="I119" s="42">
        <v>4</v>
      </c>
      <c r="J119" s="41">
        <v>124</v>
      </c>
      <c r="K119" s="42">
        <v>23.4</v>
      </c>
      <c r="L119" s="13">
        <f t="shared" si="1"/>
        <v>15419.368421052632</v>
      </c>
      <c r="M119" s="7"/>
    </row>
    <row r="120" spans="1:13" x14ac:dyDescent="0.2">
      <c r="A120" s="36">
        <v>45973</v>
      </c>
      <c r="B120" s="35">
        <v>113</v>
      </c>
      <c r="C120" s="23" t="s">
        <v>102</v>
      </c>
      <c r="D120" s="23" t="s">
        <v>7</v>
      </c>
      <c r="E120" s="24" t="s">
        <v>98</v>
      </c>
      <c r="F120" s="7"/>
      <c r="G120" s="41">
        <v>2144</v>
      </c>
      <c r="H120" s="41">
        <v>430</v>
      </c>
      <c r="I120" s="42">
        <v>20</v>
      </c>
      <c r="J120" s="41">
        <v>92</v>
      </c>
      <c r="K120" s="42">
        <v>22.6</v>
      </c>
      <c r="L120" s="13">
        <f t="shared" si="1"/>
        <v>12751.157894736843</v>
      </c>
      <c r="M120" s="7"/>
    </row>
    <row r="121" spans="1:13" x14ac:dyDescent="0.2">
      <c r="A121" s="36">
        <v>45973</v>
      </c>
      <c r="B121" s="37">
        <v>114</v>
      </c>
      <c r="C121" s="23" t="s">
        <v>102</v>
      </c>
      <c r="D121" s="23" t="s">
        <v>5</v>
      </c>
      <c r="E121" s="24" t="s">
        <v>98</v>
      </c>
      <c r="F121" s="7"/>
      <c r="G121" s="41">
        <v>746</v>
      </c>
      <c r="H121" s="41">
        <v>283</v>
      </c>
      <c r="I121" s="42">
        <v>90</v>
      </c>
      <c r="J121" s="41">
        <v>74</v>
      </c>
      <c r="K121" s="42">
        <v>28.5</v>
      </c>
      <c r="L121" s="13">
        <f t="shared" si="1"/>
        <v>5595</v>
      </c>
      <c r="M121" s="7"/>
    </row>
    <row r="122" spans="1:13" x14ac:dyDescent="0.2">
      <c r="A122" s="36">
        <v>45973</v>
      </c>
      <c r="B122" s="35">
        <v>115</v>
      </c>
      <c r="C122" s="23" t="s">
        <v>102</v>
      </c>
      <c r="D122" s="23" t="s">
        <v>4</v>
      </c>
      <c r="E122" s="24" t="s">
        <v>98</v>
      </c>
      <c r="F122" s="7"/>
      <c r="G122" s="41">
        <v>2402</v>
      </c>
      <c r="H122" s="41">
        <v>580</v>
      </c>
      <c r="I122" s="42">
        <v>39</v>
      </c>
      <c r="J122" s="41">
        <v>149</v>
      </c>
      <c r="K122" s="42">
        <v>26.9</v>
      </c>
      <c r="L122" s="13">
        <f t="shared" si="1"/>
        <v>17003.631578947367</v>
      </c>
      <c r="M122" s="7"/>
    </row>
    <row r="123" spans="1:13" x14ac:dyDescent="0.2">
      <c r="A123" s="36">
        <v>45973</v>
      </c>
      <c r="B123" s="37">
        <v>116</v>
      </c>
      <c r="C123" s="23" t="s">
        <v>102</v>
      </c>
      <c r="D123" s="23" t="s">
        <v>6</v>
      </c>
      <c r="E123" s="24" t="s">
        <v>98</v>
      </c>
      <c r="F123" s="7"/>
      <c r="G123" s="41">
        <v>1689</v>
      </c>
      <c r="H123" s="41">
        <v>499</v>
      </c>
      <c r="I123" s="42">
        <v>106</v>
      </c>
      <c r="J123" s="41">
        <v>113</v>
      </c>
      <c r="K123" s="42">
        <v>23.9</v>
      </c>
      <c r="L123" s="13">
        <f t="shared" si="1"/>
        <v>10622.92105263158</v>
      </c>
      <c r="M123" s="7"/>
    </row>
    <row r="124" spans="1:13" x14ac:dyDescent="0.2">
      <c r="A124" s="36">
        <v>45973</v>
      </c>
      <c r="B124" s="35">
        <v>117</v>
      </c>
      <c r="C124" s="23" t="s">
        <v>102</v>
      </c>
      <c r="D124" s="23" t="s">
        <v>8</v>
      </c>
      <c r="E124" s="24" t="s">
        <v>99</v>
      </c>
      <c r="F124" s="7"/>
      <c r="G124" s="41">
        <v>2488</v>
      </c>
      <c r="H124" s="41">
        <v>542</v>
      </c>
      <c r="I124" s="42">
        <v>107</v>
      </c>
      <c r="J124" s="41">
        <v>112</v>
      </c>
      <c r="K124" s="42">
        <v>21.3</v>
      </c>
      <c r="L124" s="13">
        <f t="shared" si="1"/>
        <v>13945.894736842107</v>
      </c>
      <c r="M124" s="7"/>
    </row>
    <row r="125" spans="1:13" x14ac:dyDescent="0.2">
      <c r="A125" s="36">
        <v>45973</v>
      </c>
      <c r="B125" s="37">
        <v>118</v>
      </c>
      <c r="C125" s="23" t="s">
        <v>102</v>
      </c>
      <c r="D125" s="23" t="s">
        <v>7</v>
      </c>
      <c r="E125" s="24" t="s">
        <v>99</v>
      </c>
      <c r="F125" s="7"/>
      <c r="G125" s="41">
        <v>2280</v>
      </c>
      <c r="H125" s="41">
        <v>437</v>
      </c>
      <c r="I125" s="42">
        <v>77</v>
      </c>
      <c r="J125" s="41">
        <v>101</v>
      </c>
      <c r="K125" s="42">
        <v>24.5</v>
      </c>
      <c r="L125" s="13">
        <f t="shared" si="1"/>
        <v>14700</v>
      </c>
      <c r="M125" s="7"/>
    </row>
    <row r="126" spans="1:13" x14ac:dyDescent="0.2">
      <c r="A126" s="36">
        <v>45973</v>
      </c>
      <c r="B126" s="35">
        <v>119</v>
      </c>
      <c r="C126" s="23" t="s">
        <v>102</v>
      </c>
      <c r="D126" s="23" t="s">
        <v>5</v>
      </c>
      <c r="E126" s="24" t="s">
        <v>99</v>
      </c>
      <c r="F126" s="7"/>
      <c r="G126" s="41">
        <v>1308</v>
      </c>
      <c r="H126" s="41">
        <v>358</v>
      </c>
      <c r="I126" s="42">
        <v>76</v>
      </c>
      <c r="J126" s="41">
        <v>102</v>
      </c>
      <c r="K126" s="42">
        <v>30.2</v>
      </c>
      <c r="L126" s="13">
        <f t="shared" si="1"/>
        <v>10395.157894736842</v>
      </c>
      <c r="M126" s="7"/>
    </row>
    <row r="127" spans="1:13" x14ac:dyDescent="0.2">
      <c r="A127" s="36">
        <v>45973</v>
      </c>
      <c r="B127" s="37">
        <v>120</v>
      </c>
      <c r="C127" s="23" t="s">
        <v>102</v>
      </c>
      <c r="D127" s="23" t="s">
        <v>4</v>
      </c>
      <c r="E127" s="24" t="s">
        <v>99</v>
      </c>
      <c r="F127" s="7"/>
      <c r="G127" s="41">
        <v>2508</v>
      </c>
      <c r="H127" s="41">
        <v>507</v>
      </c>
      <c r="I127" s="42">
        <v>15</v>
      </c>
      <c r="J127" s="41">
        <v>109</v>
      </c>
      <c r="K127" s="42">
        <v>22.8</v>
      </c>
      <c r="L127" s="13">
        <f t="shared" si="1"/>
        <v>15048.000000000002</v>
      </c>
      <c r="M127" s="7"/>
    </row>
    <row r="128" spans="1:13" x14ac:dyDescent="0.2">
      <c r="A128" s="36">
        <v>45973</v>
      </c>
      <c r="B128" s="35">
        <v>121</v>
      </c>
      <c r="C128" s="23" t="s">
        <v>102</v>
      </c>
      <c r="D128" s="23" t="s">
        <v>6</v>
      </c>
      <c r="E128" s="24" t="s">
        <v>99</v>
      </c>
      <c r="F128" s="7"/>
      <c r="G128" s="41">
        <v>1554</v>
      </c>
      <c r="H128" s="41">
        <v>372</v>
      </c>
      <c r="I128" s="42">
        <v>84</v>
      </c>
      <c r="J128" s="41">
        <v>89</v>
      </c>
      <c r="K128" s="42">
        <v>25.6</v>
      </c>
      <c r="L128" s="13">
        <f t="shared" si="1"/>
        <v>10469.052631578947</v>
      </c>
      <c r="M128" s="7"/>
    </row>
    <row r="129" spans="1:13" x14ac:dyDescent="0.2">
      <c r="A129" s="36">
        <v>45973</v>
      </c>
      <c r="B129" s="37">
        <v>122</v>
      </c>
      <c r="C129" s="23" t="s">
        <v>102</v>
      </c>
      <c r="D129" s="23" t="s">
        <v>9</v>
      </c>
      <c r="E129" s="24" t="s">
        <v>99</v>
      </c>
      <c r="F129" s="7"/>
      <c r="G129" s="41">
        <v>1588</v>
      </c>
      <c r="H129" s="41">
        <v>622</v>
      </c>
      <c r="I129" s="42">
        <v>30</v>
      </c>
      <c r="J129" s="41">
        <v>157</v>
      </c>
      <c r="K129" s="42">
        <v>26.3</v>
      </c>
      <c r="L129" s="13">
        <f t="shared" si="1"/>
        <v>10990.631578947368</v>
      </c>
      <c r="M129" s="7"/>
    </row>
    <row r="130" spans="1:13" x14ac:dyDescent="0.2">
      <c r="A130" s="36">
        <v>45973</v>
      </c>
      <c r="B130" s="35">
        <v>123</v>
      </c>
      <c r="C130" s="23" t="s">
        <v>102</v>
      </c>
      <c r="D130" s="23" t="s">
        <v>4</v>
      </c>
      <c r="E130" s="24" t="s">
        <v>100</v>
      </c>
      <c r="F130" s="7"/>
      <c r="G130" s="41">
        <v>2419</v>
      </c>
      <c r="H130" s="41">
        <v>1066</v>
      </c>
      <c r="I130" s="42">
        <v>74</v>
      </c>
      <c r="J130" s="41">
        <v>219</v>
      </c>
      <c r="K130" s="42">
        <v>20.9</v>
      </c>
      <c r="L130" s="13">
        <f t="shared" si="1"/>
        <v>13304.5</v>
      </c>
      <c r="M130" s="7"/>
    </row>
    <row r="131" spans="1:13" x14ac:dyDescent="0.2">
      <c r="A131" s="36">
        <v>45973</v>
      </c>
      <c r="B131" s="37">
        <v>124</v>
      </c>
      <c r="C131" s="23" t="s">
        <v>102</v>
      </c>
      <c r="D131" s="23" t="s">
        <v>5</v>
      </c>
      <c r="E131" s="24" t="s">
        <v>100</v>
      </c>
      <c r="F131" s="7"/>
      <c r="G131" s="41">
        <v>1723</v>
      </c>
      <c r="H131" s="41">
        <v>304</v>
      </c>
      <c r="I131" s="42">
        <v>1</v>
      </c>
      <c r="J131" s="41">
        <v>79</v>
      </c>
      <c r="K131" s="42">
        <v>27.3</v>
      </c>
      <c r="L131" s="13">
        <f t="shared" si="1"/>
        <v>12378.394736842109</v>
      </c>
      <c r="M131" s="7"/>
    </row>
    <row r="132" spans="1:13" x14ac:dyDescent="0.2">
      <c r="A132" s="36">
        <v>45973</v>
      </c>
      <c r="B132" s="35">
        <v>125</v>
      </c>
      <c r="C132" s="23" t="s">
        <v>102</v>
      </c>
      <c r="D132" s="23" t="s">
        <v>6</v>
      </c>
      <c r="E132" s="24" t="s">
        <v>100</v>
      </c>
      <c r="F132" s="7"/>
      <c r="G132" s="41">
        <v>1964</v>
      </c>
      <c r="H132" s="41">
        <v>476</v>
      </c>
      <c r="I132" s="42">
        <v>93</v>
      </c>
      <c r="J132" s="41">
        <v>119</v>
      </c>
      <c r="K132" s="42">
        <v>26.2</v>
      </c>
      <c r="L132" s="13">
        <f t="shared" si="1"/>
        <v>13541.263157894738</v>
      </c>
      <c r="M132" s="7"/>
    </row>
    <row r="133" spans="1:13" x14ac:dyDescent="0.2">
      <c r="A133" s="36">
        <v>45973</v>
      </c>
      <c r="B133" s="37">
        <v>126</v>
      </c>
      <c r="C133" s="23" t="s">
        <v>102</v>
      </c>
      <c r="D133" s="23" t="s">
        <v>7</v>
      </c>
      <c r="E133" s="24" t="s">
        <v>100</v>
      </c>
      <c r="F133" s="7"/>
      <c r="G133" s="41">
        <v>2142</v>
      </c>
      <c r="H133" s="41">
        <v>517</v>
      </c>
      <c r="I133" s="42">
        <v>69</v>
      </c>
      <c r="J133" s="41">
        <v>109</v>
      </c>
      <c r="K133" s="42">
        <v>21.8</v>
      </c>
      <c r="L133" s="13">
        <f t="shared" si="1"/>
        <v>12288.315789473687</v>
      </c>
      <c r="M133" s="7"/>
    </row>
    <row r="134" spans="1:13" x14ac:dyDescent="0.2">
      <c r="A134" s="36">
        <v>45973</v>
      </c>
      <c r="B134" s="35">
        <v>127</v>
      </c>
      <c r="C134" s="23" t="s">
        <v>102</v>
      </c>
      <c r="D134" s="23" t="s">
        <v>8</v>
      </c>
      <c r="E134" s="24" t="s">
        <v>100</v>
      </c>
      <c r="F134" s="7"/>
      <c r="G134" s="41">
        <v>2285</v>
      </c>
      <c r="H134" s="41">
        <v>430</v>
      </c>
      <c r="I134" s="42">
        <v>22</v>
      </c>
      <c r="J134" s="41">
        <v>99</v>
      </c>
      <c r="K134" s="42">
        <v>24.5</v>
      </c>
      <c r="L134" s="13">
        <f t="shared" si="1"/>
        <v>14732.236842105265</v>
      </c>
      <c r="M134" s="7"/>
    </row>
    <row r="135" spans="1:13" x14ac:dyDescent="0.2">
      <c r="A135" s="36">
        <v>45973</v>
      </c>
      <c r="B135" s="37">
        <v>128</v>
      </c>
      <c r="C135" s="23" t="s">
        <v>102</v>
      </c>
      <c r="D135" s="23" t="s">
        <v>9</v>
      </c>
      <c r="E135" s="24" t="s">
        <v>100</v>
      </c>
      <c r="F135" s="7"/>
      <c r="G135" s="41">
        <v>2028</v>
      </c>
      <c r="H135" s="41">
        <v>405</v>
      </c>
      <c r="I135" s="42">
        <v>27</v>
      </c>
      <c r="J135" s="41">
        <v>120</v>
      </c>
      <c r="K135" s="42">
        <v>29.1</v>
      </c>
      <c r="L135" s="13">
        <f t="shared" si="1"/>
        <v>15530.210526315794</v>
      </c>
      <c r="M135" s="7"/>
    </row>
    <row r="136" spans="1:13" x14ac:dyDescent="0.2">
      <c r="A136" s="36">
        <v>45973</v>
      </c>
      <c r="B136" s="35">
        <v>129</v>
      </c>
      <c r="C136" s="23" t="s">
        <v>62</v>
      </c>
      <c r="D136" s="23" t="s">
        <v>5</v>
      </c>
      <c r="E136" s="24" t="s">
        <v>97</v>
      </c>
      <c r="F136" s="7"/>
      <c r="G136" s="41">
        <v>1519</v>
      </c>
      <c r="H136" s="41">
        <v>400</v>
      </c>
      <c r="I136" s="42">
        <v>34</v>
      </c>
      <c r="J136" s="41">
        <v>113</v>
      </c>
      <c r="K136" s="42">
        <v>30.1</v>
      </c>
      <c r="L136" s="13">
        <f t="shared" si="1"/>
        <v>12032.07894736842</v>
      </c>
      <c r="M136" s="7"/>
    </row>
    <row r="137" spans="1:13" x14ac:dyDescent="0.2">
      <c r="A137" s="36">
        <v>45973</v>
      </c>
      <c r="B137" s="37">
        <v>130</v>
      </c>
      <c r="C137" s="23" t="s">
        <v>62</v>
      </c>
      <c r="D137" s="23" t="s">
        <v>4</v>
      </c>
      <c r="E137" s="24" t="s">
        <v>97</v>
      </c>
      <c r="F137" s="7"/>
      <c r="G137" s="41">
        <v>2620</v>
      </c>
      <c r="H137" s="41">
        <v>689</v>
      </c>
      <c r="I137" s="42">
        <v>86</v>
      </c>
      <c r="J137" s="41">
        <v>141</v>
      </c>
      <c r="K137" s="42">
        <v>21.1</v>
      </c>
      <c r="L137" s="13">
        <f t="shared" si="1"/>
        <v>14547.894736842107</v>
      </c>
      <c r="M137" s="7"/>
    </row>
    <row r="138" spans="1:13" x14ac:dyDescent="0.2">
      <c r="A138" s="36">
        <v>45973</v>
      </c>
      <c r="B138" s="35">
        <v>131</v>
      </c>
      <c r="C138" s="23" t="s">
        <v>62</v>
      </c>
      <c r="D138" s="23" t="s">
        <v>9</v>
      </c>
      <c r="E138" s="24" t="s">
        <v>97</v>
      </c>
      <c r="F138" s="7"/>
      <c r="G138" s="41">
        <v>2590</v>
      </c>
      <c r="H138" s="41">
        <v>520</v>
      </c>
      <c r="I138" s="42">
        <v>16</v>
      </c>
      <c r="J138" s="41">
        <v>89</v>
      </c>
      <c r="K138" s="42">
        <v>17.899999999999999</v>
      </c>
      <c r="L138" s="13">
        <f t="shared" si="1"/>
        <v>12200.263157894737</v>
      </c>
      <c r="M138" s="7"/>
    </row>
    <row r="139" spans="1:13" x14ac:dyDescent="0.2">
      <c r="A139" s="36">
        <v>45973</v>
      </c>
      <c r="B139" s="37">
        <v>132</v>
      </c>
      <c r="C139" s="23" t="s">
        <v>62</v>
      </c>
      <c r="D139" s="23" t="s">
        <v>8</v>
      </c>
      <c r="E139" s="24" t="s">
        <v>97</v>
      </c>
      <c r="F139" s="7"/>
      <c r="G139" s="41">
        <v>2010</v>
      </c>
      <c r="H139" s="41">
        <v>544</v>
      </c>
      <c r="I139" s="42">
        <v>23</v>
      </c>
      <c r="J139" s="41">
        <v>115</v>
      </c>
      <c r="K139" s="42">
        <v>21.9</v>
      </c>
      <c r="L139" s="13">
        <f t="shared" si="1"/>
        <v>11583.947368421052</v>
      </c>
      <c r="M139" s="7"/>
    </row>
    <row r="140" spans="1:13" x14ac:dyDescent="0.2">
      <c r="A140" s="36">
        <v>45973</v>
      </c>
      <c r="B140" s="35">
        <v>133</v>
      </c>
      <c r="C140" s="23" t="s">
        <v>62</v>
      </c>
      <c r="D140" s="23" t="s">
        <v>7</v>
      </c>
      <c r="E140" s="24" t="s">
        <v>97</v>
      </c>
      <c r="F140" s="7"/>
      <c r="G140" s="41">
        <v>2589</v>
      </c>
      <c r="H140" s="41">
        <v>1074</v>
      </c>
      <c r="I140" s="42">
        <v>11</v>
      </c>
      <c r="J140" s="41">
        <v>212</v>
      </c>
      <c r="K140" s="42">
        <v>20.2</v>
      </c>
      <c r="L140" s="13">
        <f t="shared" si="1"/>
        <v>13762.57894736842</v>
      </c>
      <c r="M140" s="7"/>
    </row>
    <row r="141" spans="1:13" x14ac:dyDescent="0.2">
      <c r="A141" s="36">
        <v>45973</v>
      </c>
      <c r="B141" s="37">
        <v>134</v>
      </c>
      <c r="C141" s="23" t="s">
        <v>62</v>
      </c>
      <c r="D141" s="23" t="s">
        <v>6</v>
      </c>
      <c r="E141" s="24" t="s">
        <v>97</v>
      </c>
      <c r="F141" s="7"/>
      <c r="G141" s="41">
        <v>1880</v>
      </c>
      <c r="H141" s="41">
        <v>308</v>
      </c>
      <c r="I141" s="42">
        <v>49</v>
      </c>
      <c r="J141" s="41">
        <v>57</v>
      </c>
      <c r="K141" s="42">
        <v>20.3</v>
      </c>
      <c r="L141" s="13">
        <f t="shared" si="1"/>
        <v>10043.157894736843</v>
      </c>
      <c r="M141" s="7"/>
    </row>
    <row r="142" spans="1:13" x14ac:dyDescent="0.2">
      <c r="A142" s="36">
        <v>45973</v>
      </c>
      <c r="B142" s="35">
        <v>135</v>
      </c>
      <c r="C142" s="23" t="s">
        <v>62</v>
      </c>
      <c r="D142" s="23" t="s">
        <v>8</v>
      </c>
      <c r="E142" s="24" t="s">
        <v>98</v>
      </c>
      <c r="F142" s="7"/>
      <c r="G142" s="41">
        <v>1882</v>
      </c>
      <c r="H142" s="41">
        <v>520</v>
      </c>
      <c r="I142" s="42">
        <v>98</v>
      </c>
      <c r="J142" s="41">
        <v>123</v>
      </c>
      <c r="K142" s="42">
        <v>24.5</v>
      </c>
      <c r="L142" s="13">
        <f t="shared" si="1"/>
        <v>12133.947368421052</v>
      </c>
      <c r="M142" s="7"/>
    </row>
    <row r="143" spans="1:13" x14ac:dyDescent="0.2">
      <c r="A143" s="36">
        <v>45973</v>
      </c>
      <c r="B143" s="37">
        <v>136</v>
      </c>
      <c r="C143" s="23" t="s">
        <v>62</v>
      </c>
      <c r="D143" s="23" t="s">
        <v>9</v>
      </c>
      <c r="E143" s="24" t="s">
        <v>98</v>
      </c>
      <c r="F143" s="7"/>
      <c r="G143" s="41">
        <v>2358</v>
      </c>
      <c r="H143" s="41">
        <v>769</v>
      </c>
      <c r="I143" s="42">
        <v>48</v>
      </c>
      <c r="J143" s="41">
        <v>168</v>
      </c>
      <c r="K143" s="42">
        <v>22.4</v>
      </c>
      <c r="L143" s="13">
        <f t="shared" si="1"/>
        <v>13899.789473684212</v>
      </c>
      <c r="M143" s="7"/>
    </row>
    <row r="144" spans="1:13" x14ac:dyDescent="0.2">
      <c r="A144" s="36">
        <v>45973</v>
      </c>
      <c r="B144" s="35">
        <v>137</v>
      </c>
      <c r="C144" s="23" t="s">
        <v>62</v>
      </c>
      <c r="D144" s="23" t="s">
        <v>7</v>
      </c>
      <c r="E144" s="24" t="s">
        <v>98</v>
      </c>
      <c r="F144" s="7"/>
      <c r="G144" s="41">
        <v>2190</v>
      </c>
      <c r="H144" s="41">
        <v>677</v>
      </c>
      <c r="I144" s="42">
        <v>57</v>
      </c>
      <c r="J144" s="41">
        <v>156</v>
      </c>
      <c r="K144" s="42">
        <v>23.7</v>
      </c>
      <c r="L144" s="13">
        <f t="shared" si="1"/>
        <v>13658.684210526317</v>
      </c>
      <c r="M144" s="7"/>
    </row>
    <row r="145" spans="1:13" x14ac:dyDescent="0.2">
      <c r="A145" s="36">
        <v>45973</v>
      </c>
      <c r="B145" s="37">
        <v>138</v>
      </c>
      <c r="C145" s="23" t="s">
        <v>62</v>
      </c>
      <c r="D145" s="23" t="s">
        <v>5</v>
      </c>
      <c r="E145" s="24" t="s">
        <v>98</v>
      </c>
      <c r="F145" s="7"/>
      <c r="G145" s="41">
        <v>2339</v>
      </c>
      <c r="H145" s="41">
        <v>579</v>
      </c>
      <c r="I145" s="42">
        <v>88</v>
      </c>
      <c r="J145" s="41">
        <v>135</v>
      </c>
      <c r="K145" s="42">
        <v>24.3</v>
      </c>
      <c r="L145" s="13">
        <f t="shared" si="1"/>
        <v>14957.289473684212</v>
      </c>
      <c r="M145" s="7"/>
    </row>
    <row r="146" spans="1:13" x14ac:dyDescent="0.2">
      <c r="A146" s="36">
        <v>45973</v>
      </c>
      <c r="B146" s="35">
        <v>139</v>
      </c>
      <c r="C146" s="23" t="s">
        <v>62</v>
      </c>
      <c r="D146" s="23" t="s">
        <v>4</v>
      </c>
      <c r="E146" s="24" t="s">
        <v>98</v>
      </c>
      <c r="F146" s="7"/>
      <c r="G146" s="41">
        <v>2381</v>
      </c>
      <c r="H146" s="41">
        <v>410</v>
      </c>
      <c r="I146" s="42">
        <v>111</v>
      </c>
      <c r="J146" s="41">
        <v>74</v>
      </c>
      <c r="K146" s="42">
        <v>19</v>
      </c>
      <c r="L146" s="13">
        <f t="shared" si="1"/>
        <v>11905</v>
      </c>
      <c r="M146" s="7"/>
    </row>
    <row r="147" spans="1:13" x14ac:dyDescent="0.2">
      <c r="A147" s="36">
        <v>45973</v>
      </c>
      <c r="B147" s="37">
        <v>140</v>
      </c>
      <c r="C147" s="23" t="s">
        <v>62</v>
      </c>
      <c r="D147" s="23" t="s">
        <v>6</v>
      </c>
      <c r="E147" s="24" t="s">
        <v>98</v>
      </c>
      <c r="F147" s="7"/>
      <c r="G147" s="41">
        <v>2044</v>
      </c>
      <c r="H147" s="41">
        <v>322</v>
      </c>
      <c r="I147" s="42">
        <v>28</v>
      </c>
      <c r="J147" s="41">
        <v>60</v>
      </c>
      <c r="K147" s="42">
        <v>20.2</v>
      </c>
      <c r="L147" s="13">
        <f t="shared" si="1"/>
        <v>10865.473684210527</v>
      </c>
      <c r="M147" s="7"/>
    </row>
    <row r="148" spans="1:13" x14ac:dyDescent="0.2">
      <c r="A148" s="36">
        <v>45973</v>
      </c>
      <c r="B148" s="35">
        <v>141</v>
      </c>
      <c r="C148" s="23" t="s">
        <v>62</v>
      </c>
      <c r="D148" s="23" t="s">
        <v>8</v>
      </c>
      <c r="E148" s="24" t="s">
        <v>99</v>
      </c>
      <c r="F148" s="7"/>
      <c r="G148" s="41">
        <v>2130</v>
      </c>
      <c r="H148" s="41">
        <v>570</v>
      </c>
      <c r="I148" s="42">
        <v>59</v>
      </c>
      <c r="J148" s="41">
        <v>144</v>
      </c>
      <c r="K148" s="42">
        <v>26.6</v>
      </c>
      <c r="L148" s="13">
        <f t="shared" si="1"/>
        <v>14910.000000000002</v>
      </c>
      <c r="M148" s="7"/>
    </row>
    <row r="149" spans="1:13" x14ac:dyDescent="0.2">
      <c r="A149" s="36">
        <v>45973</v>
      </c>
      <c r="B149" s="37">
        <v>142</v>
      </c>
      <c r="C149" s="23" t="s">
        <v>62</v>
      </c>
      <c r="D149" s="23" t="s">
        <v>7</v>
      </c>
      <c r="E149" s="24" t="s">
        <v>99</v>
      </c>
      <c r="F149" s="7"/>
      <c r="G149" s="41">
        <v>1969</v>
      </c>
      <c r="H149" s="41">
        <v>520</v>
      </c>
      <c r="I149" s="42">
        <v>94</v>
      </c>
      <c r="J149" s="41">
        <v>111</v>
      </c>
      <c r="K149" s="42">
        <v>22.4</v>
      </c>
      <c r="L149" s="13">
        <f t="shared" si="1"/>
        <v>11606.736842105263</v>
      </c>
      <c r="M149" s="7"/>
    </row>
    <row r="150" spans="1:13" x14ac:dyDescent="0.2">
      <c r="A150" s="36">
        <v>45973</v>
      </c>
      <c r="B150" s="35">
        <v>143</v>
      </c>
      <c r="C150" s="23" t="s">
        <v>62</v>
      </c>
      <c r="D150" s="23" t="s">
        <v>5</v>
      </c>
      <c r="E150" s="24" t="s">
        <v>99</v>
      </c>
      <c r="F150" s="7"/>
      <c r="G150" s="41">
        <v>1448</v>
      </c>
      <c r="H150" s="41">
        <v>322</v>
      </c>
      <c r="I150" s="42">
        <v>12</v>
      </c>
      <c r="J150" s="41">
        <v>90</v>
      </c>
      <c r="K150" s="42">
        <v>30</v>
      </c>
      <c r="L150" s="13">
        <f t="shared" si="1"/>
        <v>11431.57894736842</v>
      </c>
      <c r="M150" s="7"/>
    </row>
    <row r="151" spans="1:13" x14ac:dyDescent="0.2">
      <c r="A151" s="36">
        <v>45973</v>
      </c>
      <c r="B151" s="37">
        <v>144</v>
      </c>
      <c r="C151" s="23" t="s">
        <v>62</v>
      </c>
      <c r="D151" s="23" t="s">
        <v>4</v>
      </c>
      <c r="E151" s="24" t="s">
        <v>99</v>
      </c>
      <c r="F151" s="7"/>
      <c r="G151" s="41">
        <v>2836</v>
      </c>
      <c r="H151" s="41">
        <v>603</v>
      </c>
      <c r="I151" s="42">
        <v>8</v>
      </c>
      <c r="J151" s="41">
        <v>119</v>
      </c>
      <c r="K151" s="42">
        <v>20.3</v>
      </c>
      <c r="L151" s="13">
        <f t="shared" si="1"/>
        <v>15150.21052631579</v>
      </c>
      <c r="M151" s="7"/>
    </row>
    <row r="152" spans="1:13" x14ac:dyDescent="0.2">
      <c r="A152" s="36">
        <v>45973</v>
      </c>
      <c r="B152" s="35">
        <v>145</v>
      </c>
      <c r="C152" s="23" t="s">
        <v>62</v>
      </c>
      <c r="D152" s="23" t="s">
        <v>6</v>
      </c>
      <c r="E152" s="24" t="s">
        <v>99</v>
      </c>
      <c r="F152" s="7"/>
      <c r="G152" s="41">
        <v>1834</v>
      </c>
      <c r="H152" s="41">
        <v>685</v>
      </c>
      <c r="I152" s="42">
        <v>21</v>
      </c>
      <c r="J152" s="41">
        <v>159</v>
      </c>
      <c r="K152" s="42">
        <v>23.9</v>
      </c>
      <c r="L152" s="13">
        <f t="shared" si="1"/>
        <v>11534.894736842105</v>
      </c>
      <c r="M152" s="7"/>
    </row>
    <row r="153" spans="1:13" x14ac:dyDescent="0.2">
      <c r="A153" s="36">
        <v>45973</v>
      </c>
      <c r="B153" s="37">
        <v>146</v>
      </c>
      <c r="C153" s="23" t="s">
        <v>62</v>
      </c>
      <c r="D153" s="23" t="s">
        <v>9</v>
      </c>
      <c r="E153" s="24" t="s">
        <v>99</v>
      </c>
      <c r="F153" s="7"/>
      <c r="G153" s="41">
        <v>2011</v>
      </c>
      <c r="H153" s="41">
        <v>400</v>
      </c>
      <c r="I153" s="42">
        <v>80</v>
      </c>
      <c r="J153" s="41">
        <v>98</v>
      </c>
      <c r="K153" s="42">
        <v>26.3</v>
      </c>
      <c r="L153" s="13">
        <f t="shared" si="1"/>
        <v>13918.236842105263</v>
      </c>
      <c r="M153" s="7"/>
    </row>
    <row r="154" spans="1:13" x14ac:dyDescent="0.2">
      <c r="A154" s="36">
        <v>45973</v>
      </c>
      <c r="B154" s="35">
        <v>147</v>
      </c>
      <c r="C154" s="23" t="s">
        <v>62</v>
      </c>
      <c r="D154" s="23" t="s">
        <v>4</v>
      </c>
      <c r="E154" s="24" t="s">
        <v>100</v>
      </c>
      <c r="F154" s="7"/>
      <c r="G154" s="41">
        <v>3149</v>
      </c>
      <c r="H154" s="41">
        <v>601</v>
      </c>
      <c r="I154" s="42">
        <v>14</v>
      </c>
      <c r="J154" s="41">
        <v>130</v>
      </c>
      <c r="K154" s="42">
        <v>22.1</v>
      </c>
      <c r="L154" s="13">
        <f t="shared" si="1"/>
        <v>18313.92105263158</v>
      </c>
      <c r="M154" s="7"/>
    </row>
    <row r="155" spans="1:13" x14ac:dyDescent="0.2">
      <c r="A155" s="36">
        <v>45973</v>
      </c>
      <c r="B155" s="37">
        <v>148</v>
      </c>
      <c r="C155" s="23" t="s">
        <v>62</v>
      </c>
      <c r="D155" s="23" t="s">
        <v>5</v>
      </c>
      <c r="E155" s="24" t="s">
        <v>100</v>
      </c>
      <c r="F155" s="7"/>
      <c r="G155" s="41">
        <v>1039</v>
      </c>
      <c r="H155" s="41">
        <v>250</v>
      </c>
      <c r="I155" s="42">
        <v>64</v>
      </c>
      <c r="J155" s="41">
        <v>65</v>
      </c>
      <c r="K155" s="42">
        <v>28.1</v>
      </c>
      <c r="L155" s="13">
        <f t="shared" si="1"/>
        <v>7683.1315789473692</v>
      </c>
      <c r="M155" s="7"/>
    </row>
    <row r="156" spans="1:13" x14ac:dyDescent="0.2">
      <c r="A156" s="36">
        <v>45973</v>
      </c>
      <c r="B156" s="35">
        <v>149</v>
      </c>
      <c r="C156" s="23" t="s">
        <v>62</v>
      </c>
      <c r="D156" s="23" t="s">
        <v>6</v>
      </c>
      <c r="E156" s="24" t="s">
        <v>100</v>
      </c>
      <c r="F156" s="7"/>
      <c r="G156" s="41">
        <v>2201</v>
      </c>
      <c r="H156" s="41">
        <v>292</v>
      </c>
      <c r="I156" s="42">
        <v>45</v>
      </c>
      <c r="J156" s="41">
        <v>66.100000000000023</v>
      </c>
      <c r="K156" s="42">
        <v>23.6</v>
      </c>
      <c r="L156" s="13">
        <f t="shared" si="1"/>
        <v>13669.368421052633</v>
      </c>
      <c r="M156" s="7"/>
    </row>
    <row r="157" spans="1:13" x14ac:dyDescent="0.2">
      <c r="A157" s="36">
        <v>45973</v>
      </c>
      <c r="B157" s="37">
        <v>150</v>
      </c>
      <c r="C157" s="23" t="s">
        <v>62</v>
      </c>
      <c r="D157" s="23" t="s">
        <v>7</v>
      </c>
      <c r="E157" s="24" t="s">
        <v>100</v>
      </c>
      <c r="F157" s="7"/>
      <c r="G157" s="41">
        <v>2650</v>
      </c>
      <c r="H157" s="41">
        <v>420</v>
      </c>
      <c r="I157" s="42">
        <v>83</v>
      </c>
      <c r="J157" s="41">
        <v>118</v>
      </c>
      <c r="K157" s="42">
        <v>18.2</v>
      </c>
      <c r="L157" s="13">
        <f t="shared" si="1"/>
        <v>12692.105263157893</v>
      </c>
      <c r="M157" s="7"/>
    </row>
    <row r="158" spans="1:13" x14ac:dyDescent="0.2">
      <c r="A158" s="36">
        <v>45973</v>
      </c>
      <c r="B158" s="35">
        <v>151</v>
      </c>
      <c r="C158" s="23" t="s">
        <v>62</v>
      </c>
      <c r="D158" s="23" t="s">
        <v>8</v>
      </c>
      <c r="E158" s="24" t="s">
        <v>100</v>
      </c>
      <c r="F158" s="7"/>
      <c r="G158" s="41">
        <v>2036</v>
      </c>
      <c r="H158" s="41">
        <v>282</v>
      </c>
      <c r="I158" s="42">
        <v>89</v>
      </c>
      <c r="J158" s="41">
        <v>65</v>
      </c>
      <c r="K158" s="42">
        <v>24.7</v>
      </c>
      <c r="L158" s="13">
        <f t="shared" si="1"/>
        <v>13234</v>
      </c>
      <c r="M158" s="7"/>
    </row>
    <row r="159" spans="1:13" x14ac:dyDescent="0.2">
      <c r="A159" s="36">
        <v>45973</v>
      </c>
      <c r="B159" s="37">
        <v>152</v>
      </c>
      <c r="C159" s="38" t="s">
        <v>62</v>
      </c>
      <c r="D159" s="23" t="s">
        <v>9</v>
      </c>
      <c r="E159" s="24" t="s">
        <v>100</v>
      </c>
      <c r="F159" s="7"/>
      <c r="G159" s="41">
        <v>2253</v>
      </c>
      <c r="H159" s="41">
        <v>667</v>
      </c>
      <c r="I159" s="43">
        <v>52</v>
      </c>
      <c r="J159" s="41">
        <v>101</v>
      </c>
      <c r="K159" s="43">
        <v>25</v>
      </c>
      <c r="L159" s="13">
        <f t="shared" si="1"/>
        <v>14822.368421052633</v>
      </c>
      <c r="M159" s="7"/>
    </row>
  </sheetData>
  <autoFilter ref="A5:M159" xr:uid="{00000000-0009-0000-0000-000003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57"/>
  <sheetViews>
    <sheetView workbookViewId="0">
      <selection activeCell="E8" sqref="E8"/>
    </sheetView>
  </sheetViews>
  <sheetFormatPr baseColWidth="10" defaultColWidth="11.5" defaultRowHeight="15" x14ac:dyDescent="0.2"/>
  <cols>
    <col min="6" max="6" width="14.5" customWidth="1"/>
    <col min="7" max="8" width="13" customWidth="1"/>
    <col min="13" max="13" width="16.6640625" bestFit="1" customWidth="1"/>
    <col min="14" max="14" width="16" customWidth="1"/>
    <col min="15" max="15" width="17.5" customWidth="1"/>
    <col min="16" max="16" width="12.5" customWidth="1"/>
    <col min="17" max="17" width="12.83203125" customWidth="1"/>
  </cols>
  <sheetData>
    <row r="1" spans="1:18" ht="18" customHeight="1" x14ac:dyDescent="0.25">
      <c r="A1" s="44" t="s">
        <v>80</v>
      </c>
      <c r="B1" s="44"/>
      <c r="C1" s="45"/>
      <c r="D1" s="45" t="s">
        <v>103</v>
      </c>
      <c r="E1" s="45"/>
      <c r="F1" s="45"/>
      <c r="G1" s="44" t="s">
        <v>104</v>
      </c>
      <c r="H1" s="45"/>
      <c r="I1" s="45"/>
      <c r="J1" s="45"/>
    </row>
    <row r="2" spans="1:18" ht="18" customHeight="1" x14ac:dyDescent="0.25">
      <c r="A2" s="44" t="s">
        <v>81</v>
      </c>
      <c r="B2" s="44" t="s">
        <v>82</v>
      </c>
      <c r="C2" s="45"/>
      <c r="D2" s="45"/>
      <c r="E2" s="45"/>
      <c r="F2" s="45"/>
      <c r="G2" s="44"/>
      <c r="H2" s="45"/>
      <c r="I2" s="45"/>
      <c r="J2" s="45"/>
    </row>
    <row r="3" spans="1:18" x14ac:dyDescent="0.2">
      <c r="A3" s="45"/>
      <c r="B3" s="45"/>
      <c r="C3" s="45"/>
      <c r="D3" s="45" t="s">
        <v>105</v>
      </c>
      <c r="E3" s="45"/>
      <c r="F3" s="45"/>
      <c r="G3" s="45" t="s">
        <v>106</v>
      </c>
      <c r="H3" s="45"/>
      <c r="I3" s="55">
        <v>38</v>
      </c>
      <c r="J3" s="45"/>
    </row>
    <row r="4" spans="1:18" x14ac:dyDescent="0.2">
      <c r="A4" s="45"/>
      <c r="B4" s="45"/>
      <c r="C4" s="45"/>
      <c r="D4" s="45"/>
      <c r="E4" s="45"/>
      <c r="F4" s="45"/>
      <c r="G4" s="45"/>
      <c r="H4" s="45"/>
      <c r="I4" s="45"/>
      <c r="J4" s="45"/>
      <c r="M4" t="s">
        <v>107</v>
      </c>
    </row>
    <row r="5" spans="1:18" x14ac:dyDescent="0.2">
      <c r="A5" s="46" t="s">
        <v>84</v>
      </c>
      <c r="B5" s="46" t="s">
        <v>85</v>
      </c>
      <c r="C5" s="46" t="s">
        <v>86</v>
      </c>
      <c r="D5" s="46" t="s">
        <v>12</v>
      </c>
      <c r="E5" s="46" t="s">
        <v>87</v>
      </c>
      <c r="F5" s="46" t="s">
        <v>108</v>
      </c>
      <c r="G5" s="46" t="s">
        <v>109</v>
      </c>
      <c r="H5" s="47" t="s">
        <v>110</v>
      </c>
      <c r="I5" s="100" t="s">
        <v>111</v>
      </c>
      <c r="J5" s="91"/>
      <c r="K5" s="92"/>
      <c r="L5" s="48" t="s">
        <v>112</v>
      </c>
      <c r="M5" s="56" t="s">
        <v>113</v>
      </c>
      <c r="N5" s="56" t="s">
        <v>114</v>
      </c>
      <c r="O5" s="56" t="s">
        <v>115</v>
      </c>
      <c r="P5" s="56" t="s">
        <v>116</v>
      </c>
      <c r="Q5" s="56" t="s">
        <v>117</v>
      </c>
      <c r="R5" s="56" t="s">
        <v>118</v>
      </c>
    </row>
    <row r="6" spans="1:18" x14ac:dyDescent="0.2">
      <c r="A6" s="49">
        <v>45973</v>
      </c>
      <c r="B6" s="26">
        <v>153</v>
      </c>
      <c r="C6" s="26" t="s">
        <v>102</v>
      </c>
      <c r="D6" s="26" t="s">
        <v>5</v>
      </c>
      <c r="E6" s="26" t="s">
        <v>97</v>
      </c>
      <c r="F6" s="26">
        <v>457</v>
      </c>
      <c r="G6" s="26">
        <v>44.2</v>
      </c>
      <c r="H6" s="50">
        <v>34.5</v>
      </c>
      <c r="I6" s="26">
        <v>0.22270000000000001</v>
      </c>
      <c r="J6" s="10">
        <v>0.22439999999999999</v>
      </c>
      <c r="K6" s="51">
        <v>0.23419999999999999</v>
      </c>
      <c r="L6" s="52">
        <f t="shared" ref="L6:L53" si="0">(+AVERAGE(I6:K6))*10</f>
        <v>2.2709999999999999</v>
      </c>
      <c r="M6" s="7"/>
      <c r="N6" s="7"/>
      <c r="O6" s="7"/>
      <c r="P6" s="7"/>
      <c r="Q6" s="7"/>
      <c r="R6" s="7"/>
    </row>
    <row r="7" spans="1:18" x14ac:dyDescent="0.2">
      <c r="A7" s="49">
        <v>45973</v>
      </c>
      <c r="B7" s="26">
        <v>154</v>
      </c>
      <c r="C7" s="26" t="s">
        <v>102</v>
      </c>
      <c r="D7" s="26" t="s">
        <v>4</v>
      </c>
      <c r="E7" s="26" t="s">
        <v>97</v>
      </c>
      <c r="F7" s="26">
        <v>622</v>
      </c>
      <c r="G7" s="26">
        <v>131.4</v>
      </c>
      <c r="H7" s="50">
        <v>107.5</v>
      </c>
      <c r="I7" s="26">
        <v>0.2697</v>
      </c>
      <c r="J7" s="10">
        <v>0.23400000000000001</v>
      </c>
      <c r="K7" s="51">
        <v>0.25480000000000003</v>
      </c>
      <c r="L7" s="52">
        <f t="shared" si="0"/>
        <v>2.5283333333333333</v>
      </c>
      <c r="M7" s="7"/>
      <c r="N7" s="7"/>
      <c r="O7" s="7"/>
      <c r="P7" s="7"/>
      <c r="Q7" s="7"/>
      <c r="R7" s="7"/>
    </row>
    <row r="8" spans="1:18" x14ac:dyDescent="0.2">
      <c r="A8" s="49">
        <v>45973</v>
      </c>
      <c r="B8" s="26">
        <v>155</v>
      </c>
      <c r="C8" s="26" t="s">
        <v>102</v>
      </c>
      <c r="D8" s="26" t="s">
        <v>9</v>
      </c>
      <c r="E8" s="26" t="s">
        <v>97</v>
      </c>
      <c r="F8" s="26">
        <v>678</v>
      </c>
      <c r="G8" s="26">
        <v>111.5</v>
      </c>
      <c r="H8" s="50">
        <v>91.4</v>
      </c>
      <c r="I8" s="26">
        <v>0.24679999999999999</v>
      </c>
      <c r="J8" s="10">
        <v>0.24279999999999999</v>
      </c>
      <c r="K8" s="51">
        <v>0.2495</v>
      </c>
      <c r="L8" s="52">
        <f t="shared" si="0"/>
        <v>2.4636666666666667</v>
      </c>
      <c r="M8" s="7"/>
      <c r="N8" s="7"/>
      <c r="O8" s="7"/>
      <c r="P8" s="7"/>
      <c r="Q8" s="7"/>
      <c r="R8" s="7"/>
    </row>
    <row r="9" spans="1:18" x14ac:dyDescent="0.2">
      <c r="A9" s="49">
        <v>45973</v>
      </c>
      <c r="B9" s="26">
        <v>156</v>
      </c>
      <c r="C9" s="26" t="s">
        <v>102</v>
      </c>
      <c r="D9" s="26" t="s">
        <v>8</v>
      </c>
      <c r="E9" s="26" t="s">
        <v>97</v>
      </c>
      <c r="F9" s="26">
        <v>507</v>
      </c>
      <c r="G9" s="26">
        <v>110</v>
      </c>
      <c r="H9" s="50">
        <v>93.3</v>
      </c>
      <c r="I9" s="26">
        <v>0.2291</v>
      </c>
      <c r="J9" s="10">
        <v>0.25190000000000001</v>
      </c>
      <c r="K9" s="51">
        <v>0.23549999999999999</v>
      </c>
      <c r="L9" s="52">
        <f t="shared" si="0"/>
        <v>2.3883333333333332</v>
      </c>
      <c r="M9" s="7"/>
      <c r="N9" s="7"/>
      <c r="O9" s="7"/>
      <c r="P9" s="7"/>
      <c r="Q9" s="7"/>
      <c r="R9" s="7"/>
    </row>
    <row r="10" spans="1:18" x14ac:dyDescent="0.2">
      <c r="A10" s="49">
        <v>45973</v>
      </c>
      <c r="B10" s="26">
        <v>157</v>
      </c>
      <c r="C10" s="26" t="s">
        <v>102</v>
      </c>
      <c r="D10" s="26" t="s">
        <v>7</v>
      </c>
      <c r="E10" s="26" t="s">
        <v>97</v>
      </c>
      <c r="F10" s="26">
        <v>549</v>
      </c>
      <c r="G10" s="26">
        <v>114.6</v>
      </c>
      <c r="H10" s="50">
        <v>95.5</v>
      </c>
      <c r="I10" s="26">
        <v>0.24340000000000001</v>
      </c>
      <c r="J10" s="10">
        <v>0.255</v>
      </c>
      <c r="K10" s="51">
        <v>0.24160000000000001</v>
      </c>
      <c r="L10" s="52">
        <f t="shared" si="0"/>
        <v>2.4666666666666668</v>
      </c>
      <c r="M10" s="7"/>
      <c r="N10" s="7"/>
      <c r="O10" s="7"/>
      <c r="P10" s="7"/>
      <c r="Q10" s="7"/>
      <c r="R10" s="7"/>
    </row>
    <row r="11" spans="1:18" x14ac:dyDescent="0.2">
      <c r="A11" s="49">
        <v>45973</v>
      </c>
      <c r="B11" s="26">
        <v>158</v>
      </c>
      <c r="C11" s="26" t="s">
        <v>102</v>
      </c>
      <c r="D11" s="26" t="s">
        <v>6</v>
      </c>
      <c r="E11" s="26" t="s">
        <v>97</v>
      </c>
      <c r="F11" s="26">
        <v>390</v>
      </c>
      <c r="G11" s="26">
        <v>84.8</v>
      </c>
      <c r="H11" s="50">
        <v>71.7</v>
      </c>
      <c r="I11" s="26">
        <v>0.23400000000000001</v>
      </c>
      <c r="J11" s="10">
        <v>0.24440000000000001</v>
      </c>
      <c r="K11" s="51">
        <v>0.25230000000000002</v>
      </c>
      <c r="L11" s="52">
        <f t="shared" si="0"/>
        <v>2.4356666666666671</v>
      </c>
      <c r="M11" s="7"/>
      <c r="N11" s="7"/>
      <c r="O11" s="7"/>
      <c r="P11" s="7"/>
      <c r="Q11" s="7"/>
      <c r="R11" s="7"/>
    </row>
    <row r="12" spans="1:18" x14ac:dyDescent="0.2">
      <c r="A12" s="49">
        <v>45973</v>
      </c>
      <c r="B12" s="26">
        <v>159</v>
      </c>
      <c r="C12" s="53" t="s">
        <v>102</v>
      </c>
      <c r="D12" s="53" t="s">
        <v>8</v>
      </c>
      <c r="E12" s="53" t="s">
        <v>98</v>
      </c>
      <c r="F12" s="26">
        <v>612</v>
      </c>
      <c r="G12" s="26">
        <v>119.7</v>
      </c>
      <c r="H12" s="50">
        <v>97.4</v>
      </c>
      <c r="I12" s="26">
        <v>0.22589999999999999</v>
      </c>
      <c r="J12" s="10">
        <v>0.21829999999999999</v>
      </c>
      <c r="K12" s="51">
        <v>0.23430000000000001</v>
      </c>
      <c r="L12" s="52">
        <f t="shared" si="0"/>
        <v>2.2616666666666667</v>
      </c>
      <c r="M12" s="7"/>
      <c r="N12" s="7"/>
      <c r="O12" s="7"/>
      <c r="P12" s="7"/>
      <c r="Q12" s="7"/>
      <c r="R12" s="7"/>
    </row>
    <row r="13" spans="1:18" x14ac:dyDescent="0.2">
      <c r="A13" s="49">
        <v>45973</v>
      </c>
      <c r="B13" s="26">
        <v>160</v>
      </c>
      <c r="C13" s="53" t="s">
        <v>102</v>
      </c>
      <c r="D13" s="53" t="s">
        <v>9</v>
      </c>
      <c r="E13" s="53" t="s">
        <v>98</v>
      </c>
      <c r="F13" s="26">
        <v>540</v>
      </c>
      <c r="G13" s="26">
        <v>124.7</v>
      </c>
      <c r="H13" s="50">
        <v>106.1</v>
      </c>
      <c r="I13" s="26">
        <v>0.2621</v>
      </c>
      <c r="J13" s="10">
        <v>0.25729999999999997</v>
      </c>
      <c r="K13" s="51">
        <v>0.25890000000000002</v>
      </c>
      <c r="L13" s="52">
        <f t="shared" si="0"/>
        <v>2.5943333333333336</v>
      </c>
      <c r="M13" s="7"/>
      <c r="N13" s="7"/>
      <c r="O13" s="7"/>
      <c r="P13" s="7"/>
      <c r="Q13" s="7"/>
      <c r="R13" s="7"/>
    </row>
    <row r="14" spans="1:18" x14ac:dyDescent="0.2">
      <c r="A14" s="49">
        <v>45973</v>
      </c>
      <c r="B14" s="26">
        <v>161</v>
      </c>
      <c r="C14" s="26" t="s">
        <v>102</v>
      </c>
      <c r="D14" s="26" t="s">
        <v>7</v>
      </c>
      <c r="E14" s="26" t="s">
        <v>98</v>
      </c>
      <c r="F14" s="26">
        <v>586</v>
      </c>
      <c r="G14" s="26">
        <v>145.4</v>
      </c>
      <c r="H14" s="50">
        <v>125</v>
      </c>
      <c r="I14" s="26">
        <v>0.25940000000000002</v>
      </c>
      <c r="J14" s="10">
        <v>0.26240000000000002</v>
      </c>
      <c r="K14" s="51">
        <v>0.27289999999999998</v>
      </c>
      <c r="L14" s="52">
        <f t="shared" si="0"/>
        <v>2.6489999999999996</v>
      </c>
      <c r="M14" s="7"/>
      <c r="N14" s="7"/>
      <c r="O14" s="7"/>
      <c r="P14" s="7"/>
      <c r="Q14" s="7"/>
      <c r="R14" s="7"/>
    </row>
    <row r="15" spans="1:18" x14ac:dyDescent="0.2">
      <c r="A15" s="49">
        <v>45973</v>
      </c>
      <c r="B15" s="26">
        <v>162</v>
      </c>
      <c r="C15" s="26" t="s">
        <v>102</v>
      </c>
      <c r="D15" s="26" t="s">
        <v>5</v>
      </c>
      <c r="E15" s="26" t="s">
        <v>98</v>
      </c>
      <c r="F15" s="26">
        <v>433</v>
      </c>
      <c r="G15" s="26">
        <v>57.1</v>
      </c>
      <c r="H15" s="50">
        <v>48.2</v>
      </c>
      <c r="I15" s="26">
        <v>0.26129999999999998</v>
      </c>
      <c r="J15" s="10">
        <v>0.24790000000000001</v>
      </c>
      <c r="K15" s="51">
        <v>0.25090000000000001</v>
      </c>
      <c r="L15" s="52">
        <f t="shared" si="0"/>
        <v>2.533666666666667</v>
      </c>
      <c r="M15" s="7"/>
      <c r="N15" s="7"/>
      <c r="O15" s="7"/>
      <c r="P15" s="7"/>
      <c r="Q15" s="7"/>
      <c r="R15" s="7"/>
    </row>
    <row r="16" spans="1:18" x14ac:dyDescent="0.2">
      <c r="A16" s="49">
        <v>45973</v>
      </c>
      <c r="B16" s="26">
        <v>163</v>
      </c>
      <c r="C16" s="26" t="s">
        <v>102</v>
      </c>
      <c r="D16" s="26" t="s">
        <v>4</v>
      </c>
      <c r="E16" s="26" t="s">
        <v>98</v>
      </c>
      <c r="F16" s="26">
        <v>693</v>
      </c>
      <c r="G16" s="26">
        <v>129.69999999999999</v>
      </c>
      <c r="H16" s="50">
        <v>110.3</v>
      </c>
      <c r="I16" s="26">
        <v>0.24890000000000001</v>
      </c>
      <c r="J16" s="10">
        <v>0.25430000000000003</v>
      </c>
      <c r="K16" s="51">
        <v>0.25269999999999998</v>
      </c>
      <c r="L16" s="52">
        <f t="shared" si="0"/>
        <v>2.5196666666666667</v>
      </c>
      <c r="M16" s="7"/>
      <c r="N16" s="7"/>
      <c r="O16" s="7"/>
      <c r="P16" s="7"/>
      <c r="Q16" s="7"/>
      <c r="R16" s="7"/>
    </row>
    <row r="17" spans="1:18" x14ac:dyDescent="0.2">
      <c r="A17" s="49">
        <v>45973</v>
      </c>
      <c r="B17" s="26">
        <v>164</v>
      </c>
      <c r="C17" s="26" t="s">
        <v>102</v>
      </c>
      <c r="D17" s="26" t="s">
        <v>6</v>
      </c>
      <c r="E17" s="26" t="s">
        <v>98</v>
      </c>
      <c r="F17" s="26">
        <v>531</v>
      </c>
      <c r="G17" s="26">
        <v>117.7</v>
      </c>
      <c r="H17" s="50">
        <v>97.6</v>
      </c>
      <c r="I17" s="26">
        <v>0.25629999999999997</v>
      </c>
      <c r="J17" s="10">
        <v>0.24179999999999999</v>
      </c>
      <c r="K17" s="51">
        <v>0.23699999999999999</v>
      </c>
      <c r="L17" s="52">
        <f t="shared" si="0"/>
        <v>2.450333333333333</v>
      </c>
      <c r="M17" s="7"/>
      <c r="N17" s="7"/>
      <c r="O17" s="7"/>
      <c r="P17" s="7"/>
      <c r="Q17" s="7"/>
      <c r="R17" s="7"/>
    </row>
    <row r="18" spans="1:18" x14ac:dyDescent="0.2">
      <c r="A18" s="49">
        <v>45973</v>
      </c>
      <c r="B18" s="26">
        <v>165</v>
      </c>
      <c r="C18" s="26" t="s">
        <v>102</v>
      </c>
      <c r="D18" s="26" t="s">
        <v>8</v>
      </c>
      <c r="E18" s="26" t="s">
        <v>99</v>
      </c>
      <c r="F18" s="26">
        <v>562</v>
      </c>
      <c r="G18" s="26">
        <v>121.1</v>
      </c>
      <c r="H18" s="50">
        <v>104.1</v>
      </c>
      <c r="I18" s="26">
        <v>0.2467</v>
      </c>
      <c r="J18" s="10">
        <v>0.24310000000000001</v>
      </c>
      <c r="K18" s="51">
        <v>0.22900000000000001</v>
      </c>
      <c r="L18" s="52">
        <f t="shared" si="0"/>
        <v>2.3959999999999999</v>
      </c>
      <c r="M18" s="7"/>
      <c r="N18" s="7"/>
      <c r="O18" s="7"/>
      <c r="P18" s="7"/>
      <c r="Q18" s="7"/>
      <c r="R18" s="7"/>
    </row>
    <row r="19" spans="1:18" x14ac:dyDescent="0.2">
      <c r="A19" s="49">
        <v>45973</v>
      </c>
      <c r="B19" s="26">
        <v>166</v>
      </c>
      <c r="C19" s="26" t="s">
        <v>102</v>
      </c>
      <c r="D19" s="26" t="s">
        <v>7</v>
      </c>
      <c r="E19" s="26" t="s">
        <v>99</v>
      </c>
      <c r="F19" s="26">
        <v>485</v>
      </c>
      <c r="G19" s="26">
        <v>119.7</v>
      </c>
      <c r="H19" s="50">
        <v>103.3</v>
      </c>
      <c r="I19" s="26">
        <v>0.24179999999999999</v>
      </c>
      <c r="J19" s="10">
        <v>0.22420000000000001</v>
      </c>
      <c r="K19" s="51">
        <v>0.2344</v>
      </c>
      <c r="L19" s="52">
        <f t="shared" si="0"/>
        <v>2.3346666666666662</v>
      </c>
      <c r="M19" s="7"/>
      <c r="N19" s="7"/>
      <c r="O19" s="7"/>
      <c r="P19" s="7"/>
      <c r="Q19" s="7"/>
      <c r="R19" s="7"/>
    </row>
    <row r="20" spans="1:18" x14ac:dyDescent="0.2">
      <c r="A20" s="49">
        <v>45973</v>
      </c>
      <c r="B20" s="26">
        <v>167</v>
      </c>
      <c r="C20" s="26" t="s">
        <v>102</v>
      </c>
      <c r="D20" s="26" t="s">
        <v>5</v>
      </c>
      <c r="E20" s="26" t="s">
        <v>99</v>
      </c>
      <c r="F20" s="26">
        <v>502</v>
      </c>
      <c r="G20" s="26">
        <v>55.3</v>
      </c>
      <c r="H20" s="50">
        <v>46.8</v>
      </c>
      <c r="I20" s="26">
        <v>0.24759999999999999</v>
      </c>
      <c r="J20" s="10">
        <v>0.24010000000000001</v>
      </c>
      <c r="K20" s="51">
        <v>0.22270000000000001</v>
      </c>
      <c r="L20" s="52">
        <f t="shared" si="0"/>
        <v>2.3680000000000003</v>
      </c>
      <c r="M20" s="7"/>
      <c r="N20" s="7"/>
      <c r="O20" s="7"/>
      <c r="P20" s="7"/>
      <c r="Q20" s="7"/>
      <c r="R20" s="7"/>
    </row>
    <row r="21" spans="1:18" x14ac:dyDescent="0.2">
      <c r="A21" s="49">
        <v>45973</v>
      </c>
      <c r="B21" s="26">
        <v>168</v>
      </c>
      <c r="C21" s="26" t="s">
        <v>102</v>
      </c>
      <c r="D21" s="26" t="s">
        <v>4</v>
      </c>
      <c r="E21" s="26" t="s">
        <v>99</v>
      </c>
      <c r="F21" s="26">
        <v>748</v>
      </c>
      <c r="G21" s="26">
        <v>133.30000000000001</v>
      </c>
      <c r="H21" s="50">
        <v>109.2</v>
      </c>
      <c r="I21" s="26">
        <v>0.2447</v>
      </c>
      <c r="J21" s="10">
        <v>0.2369</v>
      </c>
      <c r="K21" s="51">
        <v>0.23250000000000001</v>
      </c>
      <c r="L21" s="52">
        <f t="shared" si="0"/>
        <v>2.3803333333333336</v>
      </c>
      <c r="M21" s="7"/>
      <c r="N21" s="7"/>
      <c r="O21" s="7"/>
      <c r="P21" s="7"/>
      <c r="Q21" s="7"/>
      <c r="R21" s="7"/>
    </row>
    <row r="22" spans="1:18" x14ac:dyDescent="0.2">
      <c r="A22" s="49">
        <v>45973</v>
      </c>
      <c r="B22" s="26">
        <v>169</v>
      </c>
      <c r="C22" s="26" t="s">
        <v>102</v>
      </c>
      <c r="D22" s="26" t="s">
        <v>6</v>
      </c>
      <c r="E22" s="26" t="s">
        <v>99</v>
      </c>
      <c r="F22" s="26">
        <v>648</v>
      </c>
      <c r="G22" s="26">
        <v>118.6</v>
      </c>
      <c r="H22" s="50">
        <v>103.2</v>
      </c>
      <c r="I22" s="26">
        <v>0.2455</v>
      </c>
      <c r="J22" s="10">
        <v>0.26690000000000003</v>
      </c>
      <c r="K22" s="51">
        <v>0.25109999999999999</v>
      </c>
      <c r="L22" s="52">
        <f t="shared" si="0"/>
        <v>2.5449999999999999</v>
      </c>
      <c r="M22" s="7"/>
      <c r="N22" s="7"/>
      <c r="O22" s="7"/>
      <c r="P22" s="7"/>
      <c r="Q22" s="7"/>
      <c r="R22" s="7"/>
    </row>
    <row r="23" spans="1:18" x14ac:dyDescent="0.2">
      <c r="A23" s="49">
        <v>45973</v>
      </c>
      <c r="B23" s="26">
        <v>170</v>
      </c>
      <c r="C23" s="26" t="s">
        <v>102</v>
      </c>
      <c r="D23" s="26" t="s">
        <v>9</v>
      </c>
      <c r="E23" s="26" t="s">
        <v>99</v>
      </c>
      <c r="F23" s="26">
        <v>657</v>
      </c>
      <c r="G23" s="26">
        <v>127.9</v>
      </c>
      <c r="H23" s="50">
        <v>109.2</v>
      </c>
      <c r="I23" s="26">
        <v>0.2374</v>
      </c>
      <c r="J23" s="10">
        <v>0.21609999999999999</v>
      </c>
      <c r="K23" s="51">
        <v>0.22739999999999999</v>
      </c>
      <c r="L23" s="52">
        <f t="shared" si="0"/>
        <v>2.2696666666666667</v>
      </c>
      <c r="M23" s="7"/>
      <c r="N23" s="7"/>
      <c r="O23" s="7"/>
      <c r="P23" s="7"/>
      <c r="Q23" s="7"/>
      <c r="R23" s="7"/>
    </row>
    <row r="24" spans="1:18" x14ac:dyDescent="0.2">
      <c r="A24" s="49">
        <v>45973</v>
      </c>
      <c r="B24" s="26">
        <v>171</v>
      </c>
      <c r="C24" s="26" t="s">
        <v>102</v>
      </c>
      <c r="D24" s="26" t="s">
        <v>4</v>
      </c>
      <c r="E24" s="26" t="s">
        <v>100</v>
      </c>
      <c r="F24" s="26">
        <v>600</v>
      </c>
      <c r="G24" s="26">
        <v>110.3</v>
      </c>
      <c r="H24" s="50">
        <v>90.7</v>
      </c>
      <c r="I24" s="26">
        <v>0.20760000000000001</v>
      </c>
      <c r="J24" s="10">
        <v>0.1978</v>
      </c>
      <c r="K24" s="51">
        <v>0.192</v>
      </c>
      <c r="L24" s="52">
        <f t="shared" si="0"/>
        <v>1.991333333333333</v>
      </c>
      <c r="M24" s="7"/>
      <c r="N24" s="7"/>
      <c r="O24" s="7"/>
      <c r="P24" s="7"/>
      <c r="Q24" s="7"/>
      <c r="R24" s="7"/>
    </row>
    <row r="25" spans="1:18" x14ac:dyDescent="0.2">
      <c r="A25" s="49">
        <v>45973</v>
      </c>
      <c r="B25" s="26">
        <v>172</v>
      </c>
      <c r="C25" s="26" t="s">
        <v>102</v>
      </c>
      <c r="D25" s="26" t="s">
        <v>5</v>
      </c>
      <c r="E25" s="26" t="s">
        <v>100</v>
      </c>
      <c r="F25" s="26">
        <v>537</v>
      </c>
      <c r="G25" s="26">
        <v>100</v>
      </c>
      <c r="H25" s="50">
        <v>84.1</v>
      </c>
      <c r="I25" s="26">
        <v>0.24709999999999999</v>
      </c>
      <c r="J25" s="10">
        <v>0.2505</v>
      </c>
      <c r="K25" s="51">
        <v>0.2379</v>
      </c>
      <c r="L25" s="52">
        <f t="shared" si="0"/>
        <v>2.4516666666666667</v>
      </c>
      <c r="M25" s="7"/>
      <c r="N25" s="7"/>
      <c r="O25" s="7"/>
      <c r="P25" s="7"/>
      <c r="Q25" s="7"/>
      <c r="R25" s="7"/>
    </row>
    <row r="26" spans="1:18" x14ac:dyDescent="0.2">
      <c r="A26" s="49">
        <v>45973</v>
      </c>
      <c r="B26" s="26">
        <v>173</v>
      </c>
      <c r="C26" s="26" t="s">
        <v>102</v>
      </c>
      <c r="D26" s="26" t="s">
        <v>6</v>
      </c>
      <c r="E26" s="26" t="s">
        <v>100</v>
      </c>
      <c r="F26" s="26">
        <v>498</v>
      </c>
      <c r="G26" s="26">
        <v>133.30000000000001</v>
      </c>
      <c r="H26" s="50">
        <v>114.7</v>
      </c>
      <c r="I26" s="26">
        <v>0.27139999999999997</v>
      </c>
      <c r="J26" s="10">
        <v>0.25679999999999997</v>
      </c>
      <c r="K26" s="51">
        <v>0.2477</v>
      </c>
      <c r="L26" s="52">
        <f t="shared" si="0"/>
        <v>2.5863333333333332</v>
      </c>
      <c r="M26" s="7"/>
      <c r="N26" s="7"/>
      <c r="O26" s="7"/>
      <c r="P26" s="7"/>
      <c r="Q26" s="7"/>
      <c r="R26" s="7"/>
    </row>
    <row r="27" spans="1:18" x14ac:dyDescent="0.2">
      <c r="A27" s="49">
        <v>45973</v>
      </c>
      <c r="B27" s="26">
        <v>174</v>
      </c>
      <c r="C27" s="26" t="s">
        <v>102</v>
      </c>
      <c r="D27" s="26" t="s">
        <v>7</v>
      </c>
      <c r="E27" s="26" t="s">
        <v>100</v>
      </c>
      <c r="F27" s="26">
        <v>667</v>
      </c>
      <c r="G27" s="26">
        <v>146.19999999999999</v>
      </c>
      <c r="H27" s="50">
        <v>123.3</v>
      </c>
      <c r="I27" s="26">
        <v>0.2414</v>
      </c>
      <c r="J27" s="10">
        <v>0.2402</v>
      </c>
      <c r="K27" s="51">
        <v>0.22770000000000001</v>
      </c>
      <c r="L27" s="52">
        <f t="shared" si="0"/>
        <v>2.3643333333333336</v>
      </c>
      <c r="M27" s="7"/>
      <c r="N27" s="7"/>
      <c r="O27" s="7"/>
      <c r="P27" s="7"/>
      <c r="Q27" s="7"/>
      <c r="R27" s="7"/>
    </row>
    <row r="28" spans="1:18" x14ac:dyDescent="0.2">
      <c r="A28" s="49">
        <v>45973</v>
      </c>
      <c r="B28" s="26">
        <v>175</v>
      </c>
      <c r="C28" s="26" t="s">
        <v>102</v>
      </c>
      <c r="D28" s="26" t="s">
        <v>8</v>
      </c>
      <c r="E28" s="26" t="s">
        <v>100</v>
      </c>
      <c r="F28" s="26">
        <v>566</v>
      </c>
      <c r="G28" s="26">
        <v>136.69999999999999</v>
      </c>
      <c r="H28" s="50">
        <v>113.6</v>
      </c>
      <c r="I28" s="26">
        <v>0.23319999999999999</v>
      </c>
      <c r="J28" s="10">
        <v>0.23130000000000001</v>
      </c>
      <c r="K28" s="51">
        <v>0.23680000000000001</v>
      </c>
      <c r="L28" s="52">
        <f t="shared" si="0"/>
        <v>2.3376666666666668</v>
      </c>
      <c r="M28" s="7"/>
      <c r="N28" s="7"/>
      <c r="O28" s="7"/>
      <c r="P28" s="7"/>
      <c r="Q28" s="7"/>
      <c r="R28" s="7"/>
    </row>
    <row r="29" spans="1:18" x14ac:dyDescent="0.2">
      <c r="A29" s="49">
        <v>45973</v>
      </c>
      <c r="B29" s="26">
        <v>176</v>
      </c>
      <c r="C29" s="26" t="s">
        <v>102</v>
      </c>
      <c r="D29" s="26" t="s">
        <v>9</v>
      </c>
      <c r="E29" s="26" t="s">
        <v>100</v>
      </c>
      <c r="F29" s="26">
        <v>709</v>
      </c>
      <c r="G29" s="26">
        <v>129.1</v>
      </c>
      <c r="H29" s="50">
        <v>108.9</v>
      </c>
      <c r="I29" s="26">
        <v>0.26279999999999998</v>
      </c>
      <c r="J29" s="10">
        <v>0.25230000000000002</v>
      </c>
      <c r="K29" s="51">
        <v>0.26919999999999999</v>
      </c>
      <c r="L29" s="52">
        <f t="shared" si="0"/>
        <v>2.6143333333333336</v>
      </c>
      <c r="M29" s="7"/>
      <c r="N29" s="7"/>
      <c r="O29" s="7"/>
      <c r="P29" s="7"/>
      <c r="Q29" s="7"/>
      <c r="R29" s="7"/>
    </row>
    <row r="30" spans="1:18" x14ac:dyDescent="0.2">
      <c r="A30" s="49">
        <v>45973</v>
      </c>
      <c r="B30" s="26">
        <v>177</v>
      </c>
      <c r="C30" s="26" t="s">
        <v>62</v>
      </c>
      <c r="D30" s="26" t="s">
        <v>5</v>
      </c>
      <c r="E30" s="26" t="s">
        <v>97</v>
      </c>
      <c r="F30" s="26">
        <v>452</v>
      </c>
      <c r="G30" s="26">
        <v>52.5</v>
      </c>
      <c r="H30" s="50">
        <v>36.9</v>
      </c>
      <c r="I30" s="26">
        <v>0.22770000000000001</v>
      </c>
      <c r="J30" s="10">
        <v>0.23980000000000001</v>
      </c>
      <c r="K30" s="51">
        <v>0.22750000000000001</v>
      </c>
      <c r="L30" s="52">
        <f t="shared" si="0"/>
        <v>2.3166666666666669</v>
      </c>
      <c r="M30" s="7"/>
      <c r="N30" s="7"/>
      <c r="O30" s="7"/>
      <c r="P30" s="7"/>
      <c r="Q30" s="7"/>
      <c r="R30" s="7"/>
    </row>
    <row r="31" spans="1:18" x14ac:dyDescent="0.2">
      <c r="A31" s="49">
        <v>45973</v>
      </c>
      <c r="B31" s="26">
        <v>178</v>
      </c>
      <c r="C31" s="26" t="s">
        <v>62</v>
      </c>
      <c r="D31" s="26" t="s">
        <v>4</v>
      </c>
      <c r="E31" s="26" t="s">
        <v>97</v>
      </c>
      <c r="F31" s="26">
        <v>571</v>
      </c>
      <c r="G31" s="26">
        <v>114.5</v>
      </c>
      <c r="H31" s="50">
        <v>87.4</v>
      </c>
      <c r="I31" s="26">
        <v>0.2344</v>
      </c>
      <c r="J31" s="10">
        <v>0.23699999999999999</v>
      </c>
      <c r="K31" s="51">
        <v>0.23619999999999999</v>
      </c>
      <c r="L31" s="52">
        <f t="shared" si="0"/>
        <v>2.3586666666666667</v>
      </c>
      <c r="M31" s="7"/>
      <c r="N31" s="7"/>
      <c r="O31" s="7"/>
      <c r="P31" s="7"/>
      <c r="Q31" s="7"/>
      <c r="R31" s="7"/>
    </row>
    <row r="32" spans="1:18" x14ac:dyDescent="0.2">
      <c r="A32" s="49">
        <v>45973</v>
      </c>
      <c r="B32" s="26">
        <v>179</v>
      </c>
      <c r="C32" s="26" t="s">
        <v>62</v>
      </c>
      <c r="D32" s="26" t="s">
        <v>9</v>
      </c>
      <c r="E32" s="26" t="s">
        <v>97</v>
      </c>
      <c r="F32" s="26">
        <v>580</v>
      </c>
      <c r="G32" s="26">
        <v>152.4</v>
      </c>
      <c r="H32" s="50">
        <v>128.69999999999999</v>
      </c>
      <c r="I32" s="26">
        <v>0.23899999999999999</v>
      </c>
      <c r="J32" s="10">
        <v>0.21260000000000001</v>
      </c>
      <c r="K32" s="51">
        <v>0.214</v>
      </c>
      <c r="L32" s="52">
        <f t="shared" si="0"/>
        <v>2.2186666666666666</v>
      </c>
      <c r="M32" s="7"/>
      <c r="N32" s="7"/>
      <c r="O32" s="7"/>
      <c r="P32" s="7"/>
      <c r="Q32" s="7"/>
      <c r="R32" s="7"/>
    </row>
    <row r="33" spans="1:18" x14ac:dyDescent="0.2">
      <c r="A33" s="49">
        <v>45973</v>
      </c>
      <c r="B33" s="26">
        <v>180</v>
      </c>
      <c r="C33" s="26" t="s">
        <v>62</v>
      </c>
      <c r="D33" s="26" t="s">
        <v>8</v>
      </c>
      <c r="E33" s="26" t="s">
        <v>97</v>
      </c>
      <c r="F33" s="26">
        <v>640</v>
      </c>
      <c r="G33" s="26">
        <v>139.30000000000001</v>
      </c>
      <c r="H33" s="50">
        <v>108.8</v>
      </c>
      <c r="I33" s="26">
        <v>0.22309999999999999</v>
      </c>
      <c r="J33" s="10">
        <v>0.22289999999999999</v>
      </c>
      <c r="K33" s="51">
        <v>0.21199999999999999</v>
      </c>
      <c r="L33" s="52">
        <f t="shared" si="0"/>
        <v>2.1933333333333329</v>
      </c>
      <c r="M33" s="7"/>
      <c r="N33" s="7"/>
      <c r="O33" s="7"/>
      <c r="P33" s="7"/>
      <c r="Q33" s="7"/>
      <c r="R33" s="7"/>
    </row>
    <row r="34" spans="1:18" x14ac:dyDescent="0.2">
      <c r="A34" s="49">
        <v>45973</v>
      </c>
      <c r="B34" s="26">
        <v>181</v>
      </c>
      <c r="C34" s="26" t="s">
        <v>62</v>
      </c>
      <c r="D34" s="26" t="s">
        <v>7</v>
      </c>
      <c r="E34" s="26" t="s">
        <v>97</v>
      </c>
      <c r="F34" s="26">
        <v>487</v>
      </c>
      <c r="G34" s="26">
        <v>112.8</v>
      </c>
      <c r="H34" s="50">
        <v>93.9</v>
      </c>
      <c r="I34" s="26">
        <v>0.21909999999999999</v>
      </c>
      <c r="J34" s="10">
        <v>0.21729999999999999</v>
      </c>
      <c r="K34" s="51">
        <v>0.23400000000000001</v>
      </c>
      <c r="L34" s="52">
        <f t="shared" si="0"/>
        <v>2.2346666666666666</v>
      </c>
      <c r="M34" s="7"/>
      <c r="N34" s="7"/>
      <c r="O34" s="7"/>
      <c r="P34" s="7"/>
      <c r="Q34" s="7"/>
      <c r="R34" s="7"/>
    </row>
    <row r="35" spans="1:18" x14ac:dyDescent="0.2">
      <c r="A35" s="49">
        <v>45973</v>
      </c>
      <c r="B35" s="26">
        <v>182</v>
      </c>
      <c r="C35" s="26" t="s">
        <v>62</v>
      </c>
      <c r="D35" s="26" t="s">
        <v>6</v>
      </c>
      <c r="E35" s="26" t="s">
        <v>97</v>
      </c>
      <c r="F35" s="26">
        <v>369</v>
      </c>
      <c r="G35" s="26">
        <v>107.8</v>
      </c>
      <c r="H35" s="50">
        <v>89.5</v>
      </c>
      <c r="I35" s="26">
        <v>0.25219999999999998</v>
      </c>
      <c r="J35" s="10">
        <v>0.25840000000000002</v>
      </c>
      <c r="K35" s="51">
        <v>0.26029999999999998</v>
      </c>
      <c r="L35" s="52">
        <f t="shared" si="0"/>
        <v>2.5696666666666661</v>
      </c>
      <c r="M35" s="7"/>
      <c r="N35" s="7"/>
      <c r="O35" s="7"/>
      <c r="P35" s="7"/>
      <c r="Q35" s="7"/>
      <c r="R35" s="7"/>
    </row>
    <row r="36" spans="1:18" x14ac:dyDescent="0.2">
      <c r="A36" s="49">
        <v>45973</v>
      </c>
      <c r="B36" s="26">
        <v>183</v>
      </c>
      <c r="C36" s="26" t="s">
        <v>62</v>
      </c>
      <c r="D36" s="26" t="s">
        <v>8</v>
      </c>
      <c r="E36" s="26" t="s">
        <v>98</v>
      </c>
      <c r="F36" s="26">
        <v>471</v>
      </c>
      <c r="G36" s="26">
        <v>94.9</v>
      </c>
      <c r="H36" s="50">
        <v>77.7</v>
      </c>
      <c r="I36" s="26">
        <v>0.27579999999999999</v>
      </c>
      <c r="J36" s="10">
        <v>0.26279999999999998</v>
      </c>
      <c r="K36" s="51">
        <v>0.2712</v>
      </c>
      <c r="L36" s="52">
        <f t="shared" si="0"/>
        <v>2.6993333333333331</v>
      </c>
      <c r="M36" s="7"/>
      <c r="N36" s="7"/>
      <c r="O36" s="7"/>
      <c r="P36" s="7"/>
      <c r="Q36" s="7"/>
      <c r="R36" s="7"/>
    </row>
    <row r="37" spans="1:18" x14ac:dyDescent="0.2">
      <c r="A37" s="49">
        <v>45973</v>
      </c>
      <c r="B37" s="26">
        <v>184</v>
      </c>
      <c r="C37" s="26" t="s">
        <v>62</v>
      </c>
      <c r="D37" s="26" t="s">
        <v>9</v>
      </c>
      <c r="E37" s="26" t="s">
        <v>98</v>
      </c>
      <c r="F37" s="26">
        <v>648</v>
      </c>
      <c r="G37" s="26">
        <v>120</v>
      </c>
      <c r="H37" s="50">
        <v>100.1</v>
      </c>
      <c r="I37" s="26">
        <v>0.23669999999999999</v>
      </c>
      <c r="J37" s="10">
        <v>0.2238</v>
      </c>
      <c r="K37" s="51">
        <v>0.23050000000000001</v>
      </c>
      <c r="L37" s="52">
        <f t="shared" si="0"/>
        <v>2.3033333333333337</v>
      </c>
      <c r="M37" s="7"/>
      <c r="N37" s="7"/>
      <c r="O37" s="7"/>
      <c r="P37" s="7"/>
      <c r="Q37" s="7"/>
      <c r="R37" s="7"/>
    </row>
    <row r="38" spans="1:18" x14ac:dyDescent="0.2">
      <c r="A38" s="49">
        <v>45973</v>
      </c>
      <c r="B38" s="26">
        <v>185</v>
      </c>
      <c r="C38" s="26" t="s">
        <v>62</v>
      </c>
      <c r="D38" s="26" t="s">
        <v>7</v>
      </c>
      <c r="E38" s="26" t="s">
        <v>98</v>
      </c>
      <c r="F38" s="26">
        <v>418</v>
      </c>
      <c r="G38" s="26">
        <v>127.3</v>
      </c>
      <c r="H38" s="50">
        <v>109.7</v>
      </c>
      <c r="I38" s="26">
        <v>0.26750000000000002</v>
      </c>
      <c r="J38" s="10">
        <v>0.26979999999999998</v>
      </c>
      <c r="K38" s="51">
        <v>0.26500000000000001</v>
      </c>
      <c r="L38" s="52">
        <f t="shared" si="0"/>
        <v>2.6743333333333337</v>
      </c>
      <c r="M38" s="7"/>
      <c r="N38" s="7"/>
      <c r="O38" s="7"/>
      <c r="P38" s="7"/>
      <c r="Q38" s="7"/>
      <c r="R38" s="7"/>
    </row>
    <row r="39" spans="1:18" x14ac:dyDescent="0.2">
      <c r="A39" s="49">
        <v>45973</v>
      </c>
      <c r="B39" s="26">
        <v>186</v>
      </c>
      <c r="C39" s="26" t="s">
        <v>62</v>
      </c>
      <c r="D39" s="26" t="s">
        <v>5</v>
      </c>
      <c r="E39" s="26" t="s">
        <v>98</v>
      </c>
      <c r="F39" s="26">
        <v>386</v>
      </c>
      <c r="G39" s="26">
        <v>62.2</v>
      </c>
      <c r="H39" s="50">
        <v>48.6</v>
      </c>
      <c r="I39" s="26">
        <v>0.21529999999999999</v>
      </c>
      <c r="J39" s="10">
        <v>0.2278</v>
      </c>
      <c r="K39" s="51">
        <v>0.21740000000000001</v>
      </c>
      <c r="L39" s="52">
        <f t="shared" si="0"/>
        <v>2.2016666666666667</v>
      </c>
      <c r="M39" s="7"/>
      <c r="N39" s="7"/>
      <c r="O39" s="7"/>
      <c r="P39" s="7"/>
      <c r="Q39" s="7"/>
      <c r="R39" s="7"/>
    </row>
    <row r="40" spans="1:18" x14ac:dyDescent="0.2">
      <c r="A40" s="49">
        <v>45973</v>
      </c>
      <c r="B40" s="26">
        <v>187</v>
      </c>
      <c r="C40" s="26" t="s">
        <v>62</v>
      </c>
      <c r="D40" s="26" t="s">
        <v>4</v>
      </c>
      <c r="E40" s="26" t="s">
        <v>98</v>
      </c>
      <c r="F40" s="26">
        <v>593</v>
      </c>
      <c r="G40" s="26">
        <v>116.4</v>
      </c>
      <c r="H40" s="50">
        <v>92.7</v>
      </c>
      <c r="I40" s="26">
        <v>0.22120000000000001</v>
      </c>
      <c r="J40" s="10">
        <v>0.21429999999999999</v>
      </c>
      <c r="K40" s="51">
        <v>0.20949999999999999</v>
      </c>
      <c r="L40" s="52">
        <f t="shared" si="0"/>
        <v>2.15</v>
      </c>
      <c r="M40" s="7"/>
      <c r="N40" s="7"/>
      <c r="O40" s="7"/>
      <c r="P40" s="7"/>
      <c r="Q40" s="7"/>
      <c r="R40" s="7"/>
    </row>
    <row r="41" spans="1:18" x14ac:dyDescent="0.2">
      <c r="A41" s="49">
        <v>45973</v>
      </c>
      <c r="B41" s="26">
        <v>188</v>
      </c>
      <c r="C41" s="26" t="s">
        <v>62</v>
      </c>
      <c r="D41" s="26" t="s">
        <v>6</v>
      </c>
      <c r="E41" s="26" t="s">
        <v>98</v>
      </c>
      <c r="F41" s="26">
        <v>459</v>
      </c>
      <c r="G41" s="26">
        <v>108.7</v>
      </c>
      <c r="H41" s="50">
        <v>85.8</v>
      </c>
      <c r="I41" s="26">
        <v>0.21479999999999999</v>
      </c>
      <c r="J41" s="10">
        <v>0.22070000000000001</v>
      </c>
      <c r="K41" s="51">
        <v>0.21410000000000001</v>
      </c>
      <c r="L41" s="52">
        <f t="shared" si="0"/>
        <v>2.1653333333333333</v>
      </c>
      <c r="M41" s="7"/>
      <c r="N41" s="7"/>
      <c r="O41" s="7"/>
      <c r="P41" s="7"/>
      <c r="Q41" s="7"/>
      <c r="R41" s="7"/>
    </row>
    <row r="42" spans="1:18" x14ac:dyDescent="0.2">
      <c r="A42" s="49">
        <v>45973</v>
      </c>
      <c r="B42" s="26">
        <v>189</v>
      </c>
      <c r="C42" s="26" t="s">
        <v>62</v>
      </c>
      <c r="D42" s="26" t="s">
        <v>8</v>
      </c>
      <c r="E42" s="26" t="s">
        <v>99</v>
      </c>
      <c r="F42" s="26">
        <v>684</v>
      </c>
      <c r="G42" s="26">
        <v>123.4</v>
      </c>
      <c r="H42" s="50">
        <v>100</v>
      </c>
      <c r="I42" s="26">
        <v>0.21490000000000001</v>
      </c>
      <c r="J42" s="10">
        <v>0.2074</v>
      </c>
      <c r="K42" s="51">
        <v>0.2114</v>
      </c>
      <c r="L42" s="52">
        <f t="shared" si="0"/>
        <v>2.1123333333333334</v>
      </c>
      <c r="M42" s="7"/>
      <c r="N42" s="7"/>
      <c r="O42" s="7"/>
      <c r="P42" s="7"/>
      <c r="Q42" s="7"/>
      <c r="R42" s="7"/>
    </row>
    <row r="43" spans="1:18" x14ac:dyDescent="0.2">
      <c r="A43" s="49">
        <v>45973</v>
      </c>
      <c r="B43" s="26">
        <v>190</v>
      </c>
      <c r="C43" s="26" t="s">
        <v>62</v>
      </c>
      <c r="D43" s="26" t="s">
        <v>7</v>
      </c>
      <c r="E43" s="26" t="s">
        <v>99</v>
      </c>
      <c r="F43" s="26">
        <v>443</v>
      </c>
      <c r="G43" s="26">
        <v>107.4</v>
      </c>
      <c r="H43" s="50">
        <v>80.599999999999994</v>
      </c>
      <c r="I43" s="26">
        <v>0.20280000000000001</v>
      </c>
      <c r="J43" s="10">
        <v>0.20699999999999999</v>
      </c>
      <c r="K43" s="51">
        <v>0.2039</v>
      </c>
      <c r="L43" s="52">
        <f t="shared" si="0"/>
        <v>2.0456666666666665</v>
      </c>
      <c r="M43" s="7"/>
      <c r="N43" s="7"/>
      <c r="O43" s="7"/>
      <c r="P43" s="7"/>
      <c r="Q43" s="7"/>
      <c r="R43" s="7"/>
    </row>
    <row r="44" spans="1:18" x14ac:dyDescent="0.2">
      <c r="A44" s="49">
        <v>45973</v>
      </c>
      <c r="B44" s="26">
        <v>191</v>
      </c>
      <c r="C44" s="26" t="s">
        <v>62</v>
      </c>
      <c r="D44" s="26" t="s">
        <v>5</v>
      </c>
      <c r="E44" s="26" t="s">
        <v>99</v>
      </c>
      <c r="F44" s="26">
        <v>388</v>
      </c>
      <c r="G44" s="26">
        <v>61.6</v>
      </c>
      <c r="H44" s="50">
        <v>50.6</v>
      </c>
      <c r="I44" s="26">
        <v>0.23219999999999999</v>
      </c>
      <c r="J44" s="10">
        <v>0.2455</v>
      </c>
      <c r="K44" s="51">
        <v>0.24729999999999999</v>
      </c>
      <c r="L44" s="52">
        <f t="shared" si="0"/>
        <v>2.4166666666666665</v>
      </c>
      <c r="M44" s="7"/>
      <c r="N44" s="7"/>
      <c r="O44" s="7"/>
      <c r="P44" s="7"/>
      <c r="Q44" s="7"/>
      <c r="R44" s="7"/>
    </row>
    <row r="45" spans="1:18" x14ac:dyDescent="0.2">
      <c r="A45" s="49">
        <v>45973</v>
      </c>
      <c r="B45" s="26">
        <v>192</v>
      </c>
      <c r="C45" s="26" t="s">
        <v>62</v>
      </c>
      <c r="D45" s="26" t="s">
        <v>4</v>
      </c>
      <c r="E45" s="26" t="s">
        <v>99</v>
      </c>
      <c r="F45" s="26">
        <v>596</v>
      </c>
      <c r="G45" s="26">
        <v>123.4</v>
      </c>
      <c r="H45" s="50">
        <v>94.6</v>
      </c>
      <c r="I45" s="26">
        <v>0.20499999999999999</v>
      </c>
      <c r="J45" s="10">
        <v>0.22689999999999999</v>
      </c>
      <c r="K45" s="51">
        <v>0.2298</v>
      </c>
      <c r="L45" s="52">
        <f t="shared" si="0"/>
        <v>2.2056666666666667</v>
      </c>
      <c r="M45" s="7"/>
      <c r="N45" s="7"/>
      <c r="O45" s="7"/>
      <c r="P45" s="7"/>
      <c r="Q45" s="7"/>
      <c r="R45" s="7"/>
    </row>
    <row r="46" spans="1:18" x14ac:dyDescent="0.2">
      <c r="A46" s="49">
        <v>45973</v>
      </c>
      <c r="B46" s="26">
        <v>193</v>
      </c>
      <c r="C46" s="26" t="s">
        <v>62</v>
      </c>
      <c r="D46" s="26" t="s">
        <v>6</v>
      </c>
      <c r="E46" s="26" t="s">
        <v>99</v>
      </c>
      <c r="F46" s="26">
        <v>403</v>
      </c>
      <c r="G46" s="26">
        <v>110</v>
      </c>
      <c r="H46" s="50">
        <v>92.1</v>
      </c>
      <c r="I46" s="26">
        <v>0.2324</v>
      </c>
      <c r="J46" s="10">
        <v>0.2354</v>
      </c>
      <c r="K46" s="51">
        <v>0.23449999999999999</v>
      </c>
      <c r="L46" s="52">
        <f t="shared" si="0"/>
        <v>2.3409999999999997</v>
      </c>
      <c r="M46" s="7"/>
      <c r="N46" s="7"/>
      <c r="O46" s="7"/>
      <c r="P46" s="7"/>
      <c r="Q46" s="7"/>
      <c r="R46" s="7"/>
    </row>
    <row r="47" spans="1:18" x14ac:dyDescent="0.2">
      <c r="A47" s="49">
        <v>45973</v>
      </c>
      <c r="B47" s="26">
        <v>194</v>
      </c>
      <c r="C47" s="26" t="s">
        <v>62</v>
      </c>
      <c r="D47" s="26" t="s">
        <v>9</v>
      </c>
      <c r="E47" s="26" t="s">
        <v>99</v>
      </c>
      <c r="F47" s="26">
        <v>528</v>
      </c>
      <c r="G47" s="26">
        <v>129.1</v>
      </c>
      <c r="H47" s="50">
        <v>106</v>
      </c>
      <c r="I47" s="26">
        <v>0.2555</v>
      </c>
      <c r="J47" s="10">
        <v>0.25440000000000002</v>
      </c>
      <c r="K47" s="51">
        <v>0.23469999999999999</v>
      </c>
      <c r="L47" s="52">
        <f t="shared" si="0"/>
        <v>2.4820000000000002</v>
      </c>
      <c r="M47" s="7"/>
      <c r="N47" s="7"/>
      <c r="O47" s="7"/>
      <c r="P47" s="7"/>
      <c r="Q47" s="7"/>
      <c r="R47" s="7"/>
    </row>
    <row r="48" spans="1:18" x14ac:dyDescent="0.2">
      <c r="A48" s="49">
        <v>45973</v>
      </c>
      <c r="B48" s="26">
        <v>195</v>
      </c>
      <c r="C48" s="26" t="s">
        <v>62</v>
      </c>
      <c r="D48" s="26" t="s">
        <v>4</v>
      </c>
      <c r="E48" s="26" t="s">
        <v>100</v>
      </c>
      <c r="F48" s="26">
        <v>673</v>
      </c>
      <c r="G48" s="26">
        <v>134.5</v>
      </c>
      <c r="H48" s="50">
        <v>103.2</v>
      </c>
      <c r="I48" s="26">
        <v>0.22109999999999999</v>
      </c>
      <c r="J48" s="10">
        <v>0.2286</v>
      </c>
      <c r="K48" s="51">
        <v>0.2321</v>
      </c>
      <c r="L48" s="52">
        <f t="shared" si="0"/>
        <v>2.2726666666666664</v>
      </c>
      <c r="M48" s="7"/>
      <c r="N48" s="7"/>
      <c r="O48" s="7"/>
      <c r="P48" s="7"/>
      <c r="Q48" s="7"/>
      <c r="R48" s="7"/>
    </row>
    <row r="49" spans="1:18" x14ac:dyDescent="0.2">
      <c r="A49" s="49">
        <v>45973</v>
      </c>
      <c r="B49" s="26">
        <v>196</v>
      </c>
      <c r="C49" s="26" t="s">
        <v>62</v>
      </c>
      <c r="D49" s="26" t="s">
        <v>5</v>
      </c>
      <c r="E49" s="26" t="s">
        <v>100</v>
      </c>
      <c r="F49" s="26">
        <v>621</v>
      </c>
      <c r="G49" s="26">
        <v>80.099999999999994</v>
      </c>
      <c r="H49" s="50">
        <v>60.1</v>
      </c>
      <c r="I49" s="26">
        <v>0.19739999999999999</v>
      </c>
      <c r="J49" s="10">
        <v>0.1918</v>
      </c>
      <c r="K49" s="51">
        <v>0.2029</v>
      </c>
      <c r="L49" s="52">
        <f t="shared" si="0"/>
        <v>1.9736666666666667</v>
      </c>
      <c r="M49" s="7"/>
      <c r="N49" s="7"/>
      <c r="O49" s="7"/>
      <c r="P49" s="7"/>
      <c r="Q49" s="7"/>
      <c r="R49" s="7"/>
    </row>
    <row r="50" spans="1:18" x14ac:dyDescent="0.2">
      <c r="A50" s="49">
        <v>45973</v>
      </c>
      <c r="B50" s="26">
        <v>197</v>
      </c>
      <c r="C50" s="26" t="s">
        <v>62</v>
      </c>
      <c r="D50" s="26" t="s">
        <v>6</v>
      </c>
      <c r="E50" s="26" t="s">
        <v>100</v>
      </c>
      <c r="F50" s="26">
        <v>373</v>
      </c>
      <c r="G50" s="26">
        <v>97.1</v>
      </c>
      <c r="H50" s="50">
        <v>83</v>
      </c>
      <c r="I50" s="26">
        <v>0.26919999999999999</v>
      </c>
      <c r="J50" s="10">
        <v>0.26269999999999999</v>
      </c>
      <c r="K50" s="51">
        <v>0.24740000000000001</v>
      </c>
      <c r="L50" s="52">
        <f t="shared" si="0"/>
        <v>2.597666666666667</v>
      </c>
      <c r="M50" s="7"/>
      <c r="N50" s="7"/>
      <c r="O50" s="7"/>
      <c r="P50" s="7"/>
      <c r="Q50" s="7"/>
      <c r="R50" s="7"/>
    </row>
    <row r="51" spans="1:18" x14ac:dyDescent="0.2">
      <c r="A51" s="49">
        <v>45973</v>
      </c>
      <c r="B51" s="26">
        <v>198</v>
      </c>
      <c r="C51" s="26" t="s">
        <v>62</v>
      </c>
      <c r="D51" s="26" t="s">
        <v>7</v>
      </c>
      <c r="E51" s="26" t="s">
        <v>100</v>
      </c>
      <c r="F51" s="26">
        <v>538</v>
      </c>
      <c r="G51" s="26">
        <v>148.1</v>
      </c>
      <c r="H51" s="50">
        <v>122.7</v>
      </c>
      <c r="I51" s="26">
        <v>0.23930000000000001</v>
      </c>
      <c r="J51" s="10">
        <v>0.22969999999999999</v>
      </c>
      <c r="K51" s="51">
        <v>0.24859999999999999</v>
      </c>
      <c r="L51" s="52">
        <f t="shared" si="0"/>
        <v>2.3919999999999999</v>
      </c>
      <c r="M51" s="7"/>
      <c r="N51" s="7"/>
      <c r="O51" s="7"/>
      <c r="P51" s="7"/>
      <c r="Q51" s="7"/>
      <c r="R51" s="7"/>
    </row>
    <row r="52" spans="1:18" x14ac:dyDescent="0.2">
      <c r="A52" s="49">
        <v>45973</v>
      </c>
      <c r="B52" s="26">
        <v>199</v>
      </c>
      <c r="C52" s="26" t="s">
        <v>62</v>
      </c>
      <c r="D52" s="26" t="s">
        <v>8</v>
      </c>
      <c r="E52" s="26" t="s">
        <v>100</v>
      </c>
      <c r="F52" s="26">
        <v>519</v>
      </c>
      <c r="G52" s="26">
        <v>119.5</v>
      </c>
      <c r="H52" s="50">
        <v>91</v>
      </c>
      <c r="I52" s="26">
        <v>0.20960000000000001</v>
      </c>
      <c r="J52" s="10">
        <v>0.22359999999999999</v>
      </c>
      <c r="K52" s="51">
        <v>0.20369999999999999</v>
      </c>
      <c r="L52" s="52">
        <f t="shared" si="0"/>
        <v>2.1230000000000002</v>
      </c>
      <c r="M52" s="7"/>
      <c r="N52" s="7"/>
      <c r="O52" s="7"/>
      <c r="P52" s="7"/>
      <c r="Q52" s="7"/>
      <c r="R52" s="7"/>
    </row>
    <row r="53" spans="1:18" x14ac:dyDescent="0.2">
      <c r="A53" s="49">
        <v>45973</v>
      </c>
      <c r="B53" s="26">
        <v>200</v>
      </c>
      <c r="C53" s="26" t="s">
        <v>62</v>
      </c>
      <c r="D53" s="26" t="s">
        <v>9</v>
      </c>
      <c r="E53" s="26" t="s">
        <v>100</v>
      </c>
      <c r="F53" s="26">
        <v>547</v>
      </c>
      <c r="G53" s="26">
        <v>131.80000000000001</v>
      </c>
      <c r="H53" s="50">
        <v>106.7</v>
      </c>
      <c r="I53" s="26">
        <v>0.20119999999999999</v>
      </c>
      <c r="J53" s="10">
        <v>0.2094</v>
      </c>
      <c r="K53" s="51">
        <v>0.2036</v>
      </c>
      <c r="L53" s="52">
        <f t="shared" si="0"/>
        <v>2.0473333333333334</v>
      </c>
      <c r="M53" s="7"/>
      <c r="N53" s="7"/>
      <c r="O53" s="7"/>
      <c r="P53" s="7"/>
      <c r="Q53" s="7"/>
      <c r="R53" s="7"/>
    </row>
    <row r="54" spans="1:18" x14ac:dyDescent="0.2">
      <c r="A54" s="54"/>
      <c r="B54" s="54"/>
      <c r="C54" s="54"/>
      <c r="D54" s="54"/>
      <c r="E54" s="54"/>
      <c r="F54" s="54"/>
      <c r="G54" s="54"/>
      <c r="H54" s="54"/>
      <c r="I54" s="54"/>
      <c r="J54" s="45"/>
    </row>
    <row r="55" spans="1:18" x14ac:dyDescent="0.2">
      <c r="A55" s="99" t="s">
        <v>119</v>
      </c>
      <c r="B55" s="97"/>
      <c r="C55" s="97"/>
      <c r="D55" s="97"/>
      <c r="E55" s="54"/>
      <c r="F55" s="54"/>
      <c r="G55" s="54"/>
      <c r="H55" s="54"/>
      <c r="I55" s="54"/>
      <c r="J55" s="45"/>
    </row>
    <row r="56" spans="1:18" x14ac:dyDescent="0.2">
      <c r="A56" t="s">
        <v>120</v>
      </c>
    </row>
    <row r="57" spans="1:18" x14ac:dyDescent="0.2">
      <c r="A57" t="s">
        <v>121</v>
      </c>
    </row>
  </sheetData>
  <mergeCells count="2">
    <mergeCell ref="A55:D55"/>
    <mergeCell ref="I5:K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53"/>
  <sheetViews>
    <sheetView topLeftCell="A4" zoomScale="140" zoomScaleNormal="140" workbookViewId="0">
      <selection activeCell="M28" sqref="M28"/>
    </sheetView>
  </sheetViews>
  <sheetFormatPr baseColWidth="10" defaultColWidth="11.5" defaultRowHeight="15" x14ac:dyDescent="0.2"/>
  <cols>
    <col min="8" max="8" width="12.5" bestFit="1" customWidth="1"/>
    <col min="14" max="14" width="22" customWidth="1"/>
  </cols>
  <sheetData>
    <row r="1" spans="1:14" ht="15.5" customHeight="1" x14ac:dyDescent="0.2">
      <c r="A1" s="2" t="s">
        <v>84</v>
      </c>
      <c r="B1" s="2" t="s">
        <v>85</v>
      </c>
      <c r="C1" s="2" t="s">
        <v>86</v>
      </c>
      <c r="D1" s="2" t="s">
        <v>12</v>
      </c>
      <c r="E1" s="2" t="s">
        <v>87</v>
      </c>
      <c r="F1" s="3" t="s">
        <v>93</v>
      </c>
      <c r="G1" s="3" t="s">
        <v>94</v>
      </c>
      <c r="H1" s="82" t="s">
        <v>122</v>
      </c>
      <c r="I1" s="82" t="s">
        <v>123</v>
      </c>
      <c r="J1" s="82" t="s">
        <v>124</v>
      </c>
      <c r="K1" s="82" t="s">
        <v>125</v>
      </c>
      <c r="L1" s="82" t="s">
        <v>126</v>
      </c>
      <c r="M1" s="82" t="s">
        <v>127</v>
      </c>
      <c r="N1" s="82" t="s">
        <v>128</v>
      </c>
    </row>
    <row r="2" spans="1:14" ht="15.5" customHeight="1" x14ac:dyDescent="0.2">
      <c r="A2" s="4">
        <v>45820</v>
      </c>
      <c r="B2" s="5">
        <v>1</v>
      </c>
      <c r="C2" s="6" t="s">
        <v>62</v>
      </c>
      <c r="D2" s="6" t="s">
        <v>96</v>
      </c>
      <c r="E2" s="7" t="s">
        <v>97</v>
      </c>
      <c r="F2" s="8">
        <v>38.299999999999997</v>
      </c>
      <c r="G2" s="12">
        <v>4347</v>
      </c>
      <c r="H2" s="82">
        <v>261317</v>
      </c>
      <c r="I2" s="52">
        <v>1.056254096661484</v>
      </c>
      <c r="J2" s="52">
        <v>27.554028736365559</v>
      </c>
      <c r="K2" s="52">
        <v>56.126251159967758</v>
      </c>
      <c r="L2" s="79">
        <f t="shared" ref="L2:L27" si="0">+G2*(I2/100)</f>
        <v>45.915365581874703</v>
      </c>
      <c r="M2" s="52">
        <f t="shared" ref="M2:M27" si="1">+I2/(4.8*(G2/1000)^(-0.32))</f>
        <v>0.35216634813213982</v>
      </c>
      <c r="N2" s="52" t="s">
        <v>129</v>
      </c>
    </row>
    <row r="3" spans="1:14" ht="15.5" customHeight="1" x14ac:dyDescent="0.2">
      <c r="A3" s="4">
        <v>45820</v>
      </c>
      <c r="B3" s="5">
        <v>2</v>
      </c>
      <c r="C3" s="6" t="s">
        <v>62</v>
      </c>
      <c r="D3" s="6" t="s">
        <v>96</v>
      </c>
      <c r="E3" s="7" t="s">
        <v>98</v>
      </c>
      <c r="F3" s="8">
        <v>34</v>
      </c>
      <c r="G3" s="12">
        <v>2810</v>
      </c>
      <c r="H3" s="82">
        <v>261318</v>
      </c>
      <c r="I3" s="52">
        <v>1.1614644131267029</v>
      </c>
      <c r="J3" s="52">
        <v>25.028297523670791</v>
      </c>
      <c r="K3" s="52">
        <v>46.267410105881133</v>
      </c>
      <c r="L3" s="79">
        <f t="shared" si="0"/>
        <v>32.637150008860353</v>
      </c>
      <c r="M3" s="52">
        <f t="shared" si="1"/>
        <v>0.33678341213607665</v>
      </c>
      <c r="N3" s="52" t="s">
        <v>129</v>
      </c>
    </row>
    <row r="4" spans="1:14" ht="15.5" customHeight="1" x14ac:dyDescent="0.2">
      <c r="A4" s="4">
        <v>45820</v>
      </c>
      <c r="B4" s="5">
        <v>3</v>
      </c>
      <c r="C4" s="6" t="s">
        <v>62</v>
      </c>
      <c r="D4" s="6" t="s">
        <v>96</v>
      </c>
      <c r="E4" s="7" t="s">
        <v>99</v>
      </c>
      <c r="F4" s="8">
        <v>38.299999999999997</v>
      </c>
      <c r="G4" s="12">
        <v>4712</v>
      </c>
      <c r="H4" s="82">
        <v>261319</v>
      </c>
      <c r="I4" s="52">
        <v>1.2015178828761051</v>
      </c>
      <c r="J4" s="52">
        <v>25.272958849235259</v>
      </c>
      <c r="K4" s="52">
        <v>46.678709508334208</v>
      </c>
      <c r="L4" s="79">
        <f t="shared" si="0"/>
        <v>56.61552264112207</v>
      </c>
      <c r="M4" s="52">
        <f t="shared" si="1"/>
        <v>0.41106896717967578</v>
      </c>
      <c r="N4" s="52" t="s">
        <v>129</v>
      </c>
    </row>
    <row r="5" spans="1:14" ht="15.5" customHeight="1" x14ac:dyDescent="0.2">
      <c r="A5" s="4">
        <v>45820</v>
      </c>
      <c r="B5" s="5">
        <v>4</v>
      </c>
      <c r="C5" s="6" t="s">
        <v>62</v>
      </c>
      <c r="D5" s="6" t="s">
        <v>96</v>
      </c>
      <c r="E5" s="7" t="s">
        <v>100</v>
      </c>
      <c r="F5" s="8">
        <v>34.4</v>
      </c>
      <c r="G5" s="12">
        <v>3254</v>
      </c>
      <c r="H5" s="82">
        <v>261320</v>
      </c>
      <c r="I5" s="52">
        <v>1.1170152431582989</v>
      </c>
      <c r="J5" s="52">
        <v>26.080227603787328</v>
      </c>
      <c r="K5" s="52">
        <v>47.170333368277603</v>
      </c>
      <c r="L5" s="79">
        <f t="shared" si="0"/>
        <v>36.347676012371046</v>
      </c>
      <c r="M5" s="52">
        <f t="shared" si="1"/>
        <v>0.33946224406198716</v>
      </c>
      <c r="N5" s="52" t="s">
        <v>129</v>
      </c>
    </row>
    <row r="6" spans="1:14" ht="15.5" customHeight="1" x14ac:dyDescent="0.2">
      <c r="A6" s="4">
        <v>45820</v>
      </c>
      <c r="B6" s="5">
        <v>5</v>
      </c>
      <c r="C6" s="6" t="s">
        <v>102</v>
      </c>
      <c r="D6" s="6" t="s">
        <v>96</v>
      </c>
      <c r="E6" s="7" t="s">
        <v>97</v>
      </c>
      <c r="F6" s="8">
        <v>34.700000000000003</v>
      </c>
      <c r="G6" s="12">
        <v>3696</v>
      </c>
      <c r="H6" s="82">
        <v>261321</v>
      </c>
      <c r="I6" s="52">
        <v>1.362960041459786</v>
      </c>
      <c r="J6" s="52">
        <v>23.930992352512749</v>
      </c>
      <c r="K6" s="52">
        <v>44.692047384421848</v>
      </c>
      <c r="L6" s="79">
        <f t="shared" si="0"/>
        <v>50.37500313235369</v>
      </c>
      <c r="M6" s="52">
        <f t="shared" si="1"/>
        <v>0.43143573520338058</v>
      </c>
      <c r="N6" s="52" t="s">
        <v>129</v>
      </c>
    </row>
    <row r="7" spans="1:14" ht="15.5" customHeight="1" x14ac:dyDescent="0.2">
      <c r="A7" s="4">
        <v>45820</v>
      </c>
      <c r="B7" s="5">
        <v>6</v>
      </c>
      <c r="C7" s="6" t="s">
        <v>102</v>
      </c>
      <c r="D7" s="6" t="s">
        <v>96</v>
      </c>
      <c r="E7" s="7" t="s">
        <v>98</v>
      </c>
      <c r="F7" s="8">
        <v>33.299999999999997</v>
      </c>
      <c r="G7" s="12">
        <v>5012</v>
      </c>
      <c r="H7" s="82">
        <v>261322</v>
      </c>
      <c r="I7" s="52">
        <v>1.1106742113446011</v>
      </c>
      <c r="J7" s="52">
        <v>26.945865768796828</v>
      </c>
      <c r="K7" s="52">
        <v>54.008537353971818</v>
      </c>
      <c r="L7" s="79">
        <f t="shared" si="0"/>
        <v>55.666991472591405</v>
      </c>
      <c r="M7" s="52">
        <f t="shared" si="1"/>
        <v>0.38756896279412001</v>
      </c>
      <c r="N7" s="52" t="s">
        <v>129</v>
      </c>
    </row>
    <row r="8" spans="1:14" ht="15.5" customHeight="1" x14ac:dyDescent="0.2">
      <c r="A8" s="4">
        <v>45820</v>
      </c>
      <c r="B8" s="5">
        <v>7</v>
      </c>
      <c r="C8" s="6" t="s">
        <v>102</v>
      </c>
      <c r="D8" s="6" t="s">
        <v>96</v>
      </c>
      <c r="E8" s="7" t="s">
        <v>99</v>
      </c>
      <c r="F8" s="8">
        <v>31.1</v>
      </c>
      <c r="G8" s="12">
        <v>3642</v>
      </c>
      <c r="H8" s="82">
        <v>261323</v>
      </c>
      <c r="I8" s="52">
        <v>1.3539084340572081</v>
      </c>
      <c r="J8" s="52">
        <v>26.355027312454471</v>
      </c>
      <c r="K8" s="52">
        <v>47.927271202432117</v>
      </c>
      <c r="L8" s="79">
        <f t="shared" si="0"/>
        <v>49.309345168363521</v>
      </c>
      <c r="M8" s="52">
        <f t="shared" si="1"/>
        <v>0.42655676841449347</v>
      </c>
      <c r="N8" s="52" t="s">
        <v>129</v>
      </c>
    </row>
    <row r="9" spans="1:14" ht="15.5" customHeight="1" x14ac:dyDescent="0.2">
      <c r="A9" s="4">
        <v>45820</v>
      </c>
      <c r="B9" s="5">
        <v>8</v>
      </c>
      <c r="C9" s="6" t="s">
        <v>102</v>
      </c>
      <c r="D9" s="6" t="s">
        <v>96</v>
      </c>
      <c r="E9" s="7" t="s">
        <v>100</v>
      </c>
      <c r="F9" s="8">
        <v>35.799999999999997</v>
      </c>
      <c r="G9" s="12">
        <v>2682</v>
      </c>
      <c r="H9" s="82">
        <v>261324</v>
      </c>
      <c r="I9" s="52">
        <v>1.3641498637511069</v>
      </c>
      <c r="J9" s="52">
        <v>26.589943910636229</v>
      </c>
      <c r="K9" s="52">
        <v>54.310648869755852</v>
      </c>
      <c r="L9" s="79">
        <f t="shared" si="0"/>
        <v>36.586499345804683</v>
      </c>
      <c r="M9" s="52">
        <f t="shared" si="1"/>
        <v>0.38969753088804898</v>
      </c>
      <c r="N9" s="52" t="s">
        <v>129</v>
      </c>
    </row>
    <row r="10" spans="1:14" ht="15.5" customHeight="1" x14ac:dyDescent="0.2">
      <c r="A10" s="4">
        <v>45916</v>
      </c>
      <c r="B10" s="6">
        <v>9</v>
      </c>
      <c r="C10" s="7" t="s">
        <v>102</v>
      </c>
      <c r="D10" s="7" t="s">
        <v>5</v>
      </c>
      <c r="E10" s="7" t="s">
        <v>97</v>
      </c>
      <c r="F10" s="8">
        <v>29.5</v>
      </c>
      <c r="G10" s="12">
        <v>5214</v>
      </c>
      <c r="H10" s="82">
        <v>261325</v>
      </c>
      <c r="I10" s="52">
        <v>1.051618518147015</v>
      </c>
      <c r="J10" s="52">
        <v>28.23544352578158</v>
      </c>
      <c r="K10" s="52">
        <v>56.033012255530622</v>
      </c>
      <c r="L10" s="79">
        <f t="shared" si="0"/>
        <v>54.831389536185362</v>
      </c>
      <c r="M10" s="52">
        <f t="shared" si="1"/>
        <v>0.37163081372065027</v>
      </c>
      <c r="N10" s="52" t="s">
        <v>129</v>
      </c>
    </row>
    <row r="11" spans="1:14" ht="15.5" customHeight="1" x14ac:dyDescent="0.2">
      <c r="A11" s="4">
        <v>45916</v>
      </c>
      <c r="B11" s="6">
        <v>10</v>
      </c>
      <c r="C11" s="7" t="s">
        <v>102</v>
      </c>
      <c r="D11" s="7" t="s">
        <v>4</v>
      </c>
      <c r="E11" s="7" t="s">
        <v>97</v>
      </c>
      <c r="F11" s="8">
        <v>17.5</v>
      </c>
      <c r="G11" s="12">
        <v>7444</v>
      </c>
      <c r="H11" s="82">
        <v>261326</v>
      </c>
      <c r="I11" s="52">
        <v>2.4056752561980712</v>
      </c>
      <c r="J11" s="52">
        <v>29.975265841223589</v>
      </c>
      <c r="K11" s="52">
        <v>51.111001153160707</v>
      </c>
      <c r="L11" s="79">
        <f t="shared" si="0"/>
        <v>179.07846607138441</v>
      </c>
      <c r="M11" s="52">
        <f t="shared" si="1"/>
        <v>0.95273868680931284</v>
      </c>
      <c r="N11" s="52" t="s">
        <v>129</v>
      </c>
    </row>
    <row r="12" spans="1:14" ht="15.5" customHeight="1" x14ac:dyDescent="0.2">
      <c r="A12" s="4">
        <v>45916</v>
      </c>
      <c r="B12" s="6">
        <v>11</v>
      </c>
      <c r="C12" s="7" t="s">
        <v>102</v>
      </c>
      <c r="D12" s="7" t="s">
        <v>9</v>
      </c>
      <c r="E12" s="7" t="s">
        <v>97</v>
      </c>
      <c r="F12" s="8">
        <v>19</v>
      </c>
      <c r="G12" s="12">
        <v>8481</v>
      </c>
      <c r="H12" s="82">
        <v>261327</v>
      </c>
      <c r="I12" s="52">
        <v>1.7948907634953279</v>
      </c>
      <c r="J12" s="52">
        <v>31.918565185724692</v>
      </c>
      <c r="K12" s="52">
        <v>54.490119509382538</v>
      </c>
      <c r="L12" s="79">
        <f t="shared" si="0"/>
        <v>152.22468565203877</v>
      </c>
      <c r="M12" s="52">
        <f t="shared" si="1"/>
        <v>0.74113930436873687</v>
      </c>
      <c r="N12" s="52" t="s">
        <v>129</v>
      </c>
    </row>
    <row r="13" spans="1:14" ht="15.5" customHeight="1" x14ac:dyDescent="0.2">
      <c r="A13" s="4">
        <v>45916</v>
      </c>
      <c r="B13" s="6">
        <v>12</v>
      </c>
      <c r="C13" s="7" t="s">
        <v>102</v>
      </c>
      <c r="D13" s="7" t="s">
        <v>8</v>
      </c>
      <c r="E13" s="7" t="s">
        <v>97</v>
      </c>
      <c r="F13" s="8">
        <v>10.8</v>
      </c>
      <c r="G13" s="12">
        <v>3764</v>
      </c>
      <c r="H13" s="82">
        <v>261328</v>
      </c>
      <c r="I13" s="52">
        <v>1.8519201698513801</v>
      </c>
      <c r="J13" s="52">
        <v>32.13048798252003</v>
      </c>
      <c r="K13" s="52">
        <v>53.619352133347313</v>
      </c>
      <c r="L13" s="79">
        <f t="shared" si="0"/>
        <v>69.706275193205954</v>
      </c>
      <c r="M13" s="52">
        <f t="shared" si="1"/>
        <v>0.58964266594753834</v>
      </c>
      <c r="N13" s="52" t="s">
        <v>129</v>
      </c>
    </row>
    <row r="14" spans="1:14" ht="15.5" customHeight="1" x14ac:dyDescent="0.2">
      <c r="A14" s="4">
        <v>45916</v>
      </c>
      <c r="B14" s="6">
        <v>13</v>
      </c>
      <c r="C14" s="7" t="s">
        <v>102</v>
      </c>
      <c r="D14" s="7" t="s">
        <v>7</v>
      </c>
      <c r="E14" s="7" t="s">
        <v>97</v>
      </c>
      <c r="F14" s="8">
        <v>34.1</v>
      </c>
      <c r="G14" s="12">
        <v>7200</v>
      </c>
      <c r="H14" s="82">
        <v>261329</v>
      </c>
      <c r="I14" s="52">
        <v>2.031646575388268</v>
      </c>
      <c r="J14" s="52">
        <v>28.432709395484341</v>
      </c>
      <c r="K14" s="52">
        <v>49.099642520180318</v>
      </c>
      <c r="L14" s="79">
        <f t="shared" si="0"/>
        <v>146.2785534279553</v>
      </c>
      <c r="M14" s="52">
        <f t="shared" si="1"/>
        <v>0.79607378362842374</v>
      </c>
      <c r="N14" s="52" t="s">
        <v>129</v>
      </c>
    </row>
    <row r="15" spans="1:14" ht="15.5" customHeight="1" x14ac:dyDescent="0.2">
      <c r="A15" s="4">
        <v>45916</v>
      </c>
      <c r="B15" s="6">
        <v>14</v>
      </c>
      <c r="C15" s="7" t="s">
        <v>102</v>
      </c>
      <c r="D15" s="7" t="s">
        <v>6</v>
      </c>
      <c r="E15" s="7" t="s">
        <v>97</v>
      </c>
      <c r="F15" s="8">
        <v>24.2</v>
      </c>
      <c r="G15" s="12">
        <v>3445</v>
      </c>
      <c r="H15" s="82">
        <v>261330</v>
      </c>
      <c r="I15" s="52">
        <v>1.947404570607018</v>
      </c>
      <c r="J15" s="52">
        <v>32.569812454479241</v>
      </c>
      <c r="K15" s="52">
        <v>54.117149596393737</v>
      </c>
      <c r="L15" s="79">
        <f t="shared" si="0"/>
        <v>67.088087457411774</v>
      </c>
      <c r="M15" s="52">
        <f t="shared" si="1"/>
        <v>0.60271985724200783</v>
      </c>
      <c r="N15" s="52" t="s">
        <v>129</v>
      </c>
    </row>
    <row r="16" spans="1:14" ht="15.5" customHeight="1" x14ac:dyDescent="0.2">
      <c r="A16" s="4">
        <v>45916</v>
      </c>
      <c r="B16" s="6">
        <v>15</v>
      </c>
      <c r="C16" s="7" t="s">
        <v>102</v>
      </c>
      <c r="D16" s="7" t="s">
        <v>8</v>
      </c>
      <c r="E16" s="7" t="s">
        <v>98</v>
      </c>
      <c r="F16" s="8">
        <v>19.7</v>
      </c>
      <c r="G16" s="12">
        <v>7136</v>
      </c>
      <c r="H16" s="82">
        <v>261331</v>
      </c>
      <c r="I16" s="52">
        <v>2.0471638915358512</v>
      </c>
      <c r="J16" s="52">
        <v>30.843034955618691</v>
      </c>
      <c r="K16" s="52">
        <v>61.210092252020218</v>
      </c>
      <c r="L16" s="79">
        <f t="shared" si="0"/>
        <v>146.08561529999835</v>
      </c>
      <c r="M16" s="52">
        <f t="shared" si="1"/>
        <v>0.79986542541724082</v>
      </c>
      <c r="N16" s="52" t="s">
        <v>129</v>
      </c>
    </row>
    <row r="17" spans="1:14" ht="15.5" customHeight="1" x14ac:dyDescent="0.2">
      <c r="A17" s="4">
        <v>45916</v>
      </c>
      <c r="B17" s="6">
        <v>16</v>
      </c>
      <c r="C17" s="7" t="s">
        <v>102</v>
      </c>
      <c r="D17" s="7" t="s">
        <v>9</v>
      </c>
      <c r="E17" s="7" t="s">
        <v>98</v>
      </c>
      <c r="F17" s="8">
        <v>22.1</v>
      </c>
      <c r="G17" s="12">
        <v>11512</v>
      </c>
      <c r="H17" s="82">
        <v>261332</v>
      </c>
      <c r="I17" s="52">
        <v>1.8046207064881219</v>
      </c>
      <c r="J17" s="52">
        <v>29.676309176984709</v>
      </c>
      <c r="K17" s="52">
        <v>51.000444491036802</v>
      </c>
      <c r="L17" s="79">
        <f t="shared" si="0"/>
        <v>207.74793573091262</v>
      </c>
      <c r="M17" s="52">
        <f t="shared" si="1"/>
        <v>0.82169936005384203</v>
      </c>
      <c r="N17" s="52" t="s">
        <v>129</v>
      </c>
    </row>
    <row r="18" spans="1:14" ht="15.5" customHeight="1" x14ac:dyDescent="0.2">
      <c r="A18" s="4">
        <v>45916</v>
      </c>
      <c r="B18" s="6">
        <v>17</v>
      </c>
      <c r="C18" s="7" t="s">
        <v>102</v>
      </c>
      <c r="D18" s="7" t="s">
        <v>7</v>
      </c>
      <c r="E18" s="7" t="s">
        <v>98</v>
      </c>
      <c r="F18" s="8">
        <v>23.4</v>
      </c>
      <c r="G18" s="12">
        <v>5900</v>
      </c>
      <c r="H18" s="82">
        <v>261333</v>
      </c>
      <c r="I18" s="52">
        <v>1.6668124446227659</v>
      </c>
      <c r="J18" s="52">
        <v>30.73995630007283</v>
      </c>
      <c r="K18" s="52">
        <v>52.205551944648278</v>
      </c>
      <c r="L18" s="79">
        <f t="shared" si="0"/>
        <v>98.341934232743185</v>
      </c>
      <c r="M18" s="52">
        <f t="shared" si="1"/>
        <v>0.61279913083469528</v>
      </c>
      <c r="N18" s="52" t="s">
        <v>129</v>
      </c>
    </row>
    <row r="19" spans="1:14" ht="15.5" customHeight="1" x14ac:dyDescent="0.2">
      <c r="A19" s="4">
        <v>45916</v>
      </c>
      <c r="B19" s="6">
        <v>18</v>
      </c>
      <c r="C19" s="7" t="s">
        <v>102</v>
      </c>
      <c r="D19" s="7" t="s">
        <v>5</v>
      </c>
      <c r="E19" s="7" t="s">
        <v>98</v>
      </c>
      <c r="F19" s="8">
        <v>29.4</v>
      </c>
      <c r="G19" s="12">
        <v>3607</v>
      </c>
      <c r="H19" s="82">
        <v>261334</v>
      </c>
      <c r="I19" s="52">
        <v>1.051174749653109</v>
      </c>
      <c r="J19" s="52">
        <v>27.58569009468318</v>
      </c>
      <c r="K19" s="52">
        <v>48.283631407904387</v>
      </c>
      <c r="L19" s="79">
        <f t="shared" si="0"/>
        <v>37.915873219987638</v>
      </c>
      <c r="M19" s="52">
        <f t="shared" si="1"/>
        <v>0.33015695336397316</v>
      </c>
      <c r="N19" s="52" t="s">
        <v>129</v>
      </c>
    </row>
    <row r="20" spans="1:14" ht="15.5" customHeight="1" x14ac:dyDescent="0.2">
      <c r="A20" s="4">
        <v>45916</v>
      </c>
      <c r="B20" s="6">
        <v>19</v>
      </c>
      <c r="C20" s="7" t="s">
        <v>102</v>
      </c>
      <c r="D20" s="7" t="s">
        <v>4</v>
      </c>
      <c r="E20" s="7" t="s">
        <v>98</v>
      </c>
      <c r="F20" s="8">
        <v>21.1</v>
      </c>
      <c r="G20" s="12">
        <v>9619</v>
      </c>
      <c r="H20" s="82">
        <v>261335</v>
      </c>
      <c r="I20" s="52">
        <v>2.4865016165972889</v>
      </c>
      <c r="J20" s="52">
        <v>32.809360888565188</v>
      </c>
      <c r="K20" s="52">
        <v>55.325312925883217</v>
      </c>
      <c r="L20" s="79">
        <f t="shared" si="0"/>
        <v>239.17659050049321</v>
      </c>
      <c r="M20" s="52">
        <f t="shared" si="1"/>
        <v>1.0689295534039669</v>
      </c>
      <c r="N20" s="52" t="s">
        <v>129</v>
      </c>
    </row>
    <row r="21" spans="1:14" ht="15.5" customHeight="1" x14ac:dyDescent="0.2">
      <c r="A21" s="4">
        <v>45916</v>
      </c>
      <c r="B21" s="6">
        <v>20</v>
      </c>
      <c r="C21" s="7" t="s">
        <v>102</v>
      </c>
      <c r="D21" s="7" t="s">
        <v>6</v>
      </c>
      <c r="E21" s="7" t="s">
        <v>98</v>
      </c>
      <c r="F21" s="8">
        <v>22.9</v>
      </c>
      <c r="G21" s="12">
        <v>4311</v>
      </c>
      <c r="H21" s="82">
        <v>261336</v>
      </c>
      <c r="I21" s="52">
        <v>2.00185031011251</v>
      </c>
      <c r="J21" s="52">
        <v>30.310553532410779</v>
      </c>
      <c r="K21" s="52">
        <v>52.533310619561803</v>
      </c>
      <c r="L21" s="79">
        <f t="shared" si="0"/>
        <v>86.299766868950314</v>
      </c>
      <c r="M21" s="52">
        <f t="shared" si="1"/>
        <v>0.66566439733925498</v>
      </c>
      <c r="N21" s="52" t="s">
        <v>129</v>
      </c>
    </row>
    <row r="22" spans="1:14" ht="15.5" customHeight="1" x14ac:dyDescent="0.2">
      <c r="A22" s="4">
        <v>45916</v>
      </c>
      <c r="B22" s="6">
        <v>21</v>
      </c>
      <c r="C22" s="7" t="s">
        <v>102</v>
      </c>
      <c r="D22" s="7" t="s">
        <v>8</v>
      </c>
      <c r="E22" s="7" t="s">
        <v>99</v>
      </c>
      <c r="F22" s="8">
        <v>19.8</v>
      </c>
      <c r="G22" s="12">
        <v>6343</v>
      </c>
      <c r="H22" s="82">
        <v>261337</v>
      </c>
      <c r="I22" s="52">
        <v>2.3125566845545582</v>
      </c>
      <c r="J22" s="52">
        <v>31.9890750182083</v>
      </c>
      <c r="K22" s="52">
        <v>53.931469755739592</v>
      </c>
      <c r="L22" s="79">
        <f t="shared" si="0"/>
        <v>146.68547050129561</v>
      </c>
      <c r="M22" s="52">
        <f t="shared" si="1"/>
        <v>0.87013263413770114</v>
      </c>
      <c r="N22" s="52" t="s">
        <v>129</v>
      </c>
    </row>
    <row r="23" spans="1:14" ht="15.5" customHeight="1" x14ac:dyDescent="0.2">
      <c r="A23" s="4">
        <v>45916</v>
      </c>
      <c r="B23" s="6">
        <v>22</v>
      </c>
      <c r="C23" s="7" t="s">
        <v>102</v>
      </c>
      <c r="D23" s="7" t="s">
        <v>7</v>
      </c>
      <c r="E23" s="7" t="s">
        <v>99</v>
      </c>
      <c r="F23" s="8">
        <v>18.5</v>
      </c>
      <c r="G23" s="12">
        <v>5041</v>
      </c>
      <c r="H23" s="82">
        <v>261338</v>
      </c>
      <c r="I23" s="52">
        <v>2.5691922229466542</v>
      </c>
      <c r="J23" s="52">
        <v>31.266795338674431</v>
      </c>
      <c r="K23" s="52">
        <v>53.389139322780167</v>
      </c>
      <c r="L23" s="79">
        <f t="shared" si="0"/>
        <v>129.51297995874083</v>
      </c>
      <c r="M23" s="52">
        <f t="shared" si="1"/>
        <v>0.898174466163284</v>
      </c>
      <c r="N23" s="52" t="s">
        <v>129</v>
      </c>
    </row>
    <row r="24" spans="1:14" ht="15.5" customHeight="1" x14ac:dyDescent="0.2">
      <c r="A24" s="4">
        <v>45916</v>
      </c>
      <c r="B24" s="6">
        <v>23</v>
      </c>
      <c r="C24" s="7" t="s">
        <v>102</v>
      </c>
      <c r="D24" s="7" t="s">
        <v>5</v>
      </c>
      <c r="E24" s="7" t="s">
        <v>99</v>
      </c>
      <c r="F24" s="8">
        <v>28.9</v>
      </c>
      <c r="G24" s="12">
        <v>4422</v>
      </c>
      <c r="H24" s="82">
        <v>261339</v>
      </c>
      <c r="I24" s="52">
        <v>1.226879930454553</v>
      </c>
      <c r="J24" s="52">
        <v>26.345163874726879</v>
      </c>
      <c r="K24" s="52">
        <v>46.862502358737807</v>
      </c>
      <c r="L24" s="79">
        <f t="shared" si="0"/>
        <v>54.252630524700329</v>
      </c>
      <c r="M24" s="52">
        <f t="shared" si="1"/>
        <v>0.41130010568827097</v>
      </c>
      <c r="N24" s="52" t="s">
        <v>129</v>
      </c>
    </row>
    <row r="25" spans="1:14" ht="15.5" customHeight="1" x14ac:dyDescent="0.2">
      <c r="A25" s="4">
        <v>45916</v>
      </c>
      <c r="B25" s="6">
        <v>24</v>
      </c>
      <c r="C25" s="7" t="s">
        <v>102</v>
      </c>
      <c r="D25" s="7" t="s">
        <v>4</v>
      </c>
      <c r="E25" s="7" t="s">
        <v>99</v>
      </c>
      <c r="F25" s="8">
        <v>18.2</v>
      </c>
      <c r="G25" s="12">
        <v>8871</v>
      </c>
      <c r="H25" s="82">
        <v>261340</v>
      </c>
      <c r="I25" s="52">
        <v>2.1120090141598542</v>
      </c>
      <c r="J25" s="52">
        <v>32.319854333576103</v>
      </c>
      <c r="K25" s="52">
        <v>55.183411259041833</v>
      </c>
      <c r="L25" s="79">
        <f t="shared" si="0"/>
        <v>187.35631964612068</v>
      </c>
      <c r="M25" s="52">
        <f t="shared" si="1"/>
        <v>0.88471981744380712</v>
      </c>
      <c r="N25" s="52" t="s">
        <v>129</v>
      </c>
    </row>
    <row r="26" spans="1:14" ht="15.5" customHeight="1" x14ac:dyDescent="0.2">
      <c r="A26" s="4">
        <v>45916</v>
      </c>
      <c r="B26" s="6">
        <v>25</v>
      </c>
      <c r="C26" s="7" t="s">
        <v>102</v>
      </c>
      <c r="D26" s="7" t="s">
        <v>6</v>
      </c>
      <c r="E26" s="7" t="s">
        <v>99</v>
      </c>
      <c r="F26" s="8">
        <v>24.8</v>
      </c>
      <c r="G26" s="12">
        <v>4171</v>
      </c>
      <c r="H26" s="82">
        <v>261341</v>
      </c>
      <c r="I26" s="52">
        <v>1.7604801728605579</v>
      </c>
      <c r="J26" s="52">
        <v>29.005684917712419</v>
      </c>
      <c r="K26" s="52">
        <v>58.185727074440599</v>
      </c>
      <c r="L26" s="79">
        <f t="shared" si="0"/>
        <v>73.429628010013872</v>
      </c>
      <c r="M26" s="52">
        <f t="shared" si="1"/>
        <v>0.57925095921183167</v>
      </c>
      <c r="N26" s="52" t="s">
        <v>129</v>
      </c>
    </row>
    <row r="27" spans="1:14" ht="15.5" customHeight="1" x14ac:dyDescent="0.2">
      <c r="A27" s="4">
        <v>45916</v>
      </c>
      <c r="B27" s="6">
        <v>26</v>
      </c>
      <c r="C27" s="7" t="s">
        <v>102</v>
      </c>
      <c r="D27" s="7" t="s">
        <v>9</v>
      </c>
      <c r="E27" s="7" t="s">
        <v>99</v>
      </c>
      <c r="F27" s="19">
        <v>38.9</v>
      </c>
      <c r="G27" s="80">
        <v>15308</v>
      </c>
      <c r="H27" s="82">
        <v>261342</v>
      </c>
      <c r="I27" s="52">
        <v>2.24730807629938</v>
      </c>
      <c r="J27" s="52">
        <v>29.467523670793881</v>
      </c>
      <c r="K27" s="52">
        <v>50.396130621658457</v>
      </c>
      <c r="L27" s="79">
        <f t="shared" si="0"/>
        <v>344.01792031990908</v>
      </c>
      <c r="M27" s="52">
        <f t="shared" si="1"/>
        <v>1.1209733306384371</v>
      </c>
      <c r="N27" s="52" t="s">
        <v>129</v>
      </c>
    </row>
    <row r="28" spans="1:14" x14ac:dyDescent="0.2">
      <c r="A28" s="4">
        <v>45916</v>
      </c>
      <c r="B28" s="6">
        <v>27</v>
      </c>
      <c r="C28" s="7" t="s">
        <v>102</v>
      </c>
      <c r="D28" s="7" t="s">
        <v>4</v>
      </c>
      <c r="E28" s="7" t="s">
        <v>100</v>
      </c>
      <c r="F28" s="8">
        <v>19</v>
      </c>
      <c r="G28" s="12">
        <v>7037</v>
      </c>
      <c r="H28" s="7"/>
      <c r="I28" s="83" t="str">
        <f ca="1">Estimacion_M1R4_16set!F16</f>
        <v/>
      </c>
      <c r="J28" s="83" t="str">
        <f ca="1">Estimacion_M1R4_16set!F17</f>
        <v/>
      </c>
      <c r="K28" s="83" t="str">
        <f ca="1">Estimacion_M1R4_16set!F18</f>
        <v/>
      </c>
      <c r="L28" s="84" t="str">
        <f ca="1">Estimacion_M1R4_16set!C22</f>
        <v/>
      </c>
      <c r="M28" s="84" t="str">
        <f ca="1">Estimacion_M1R4_16set!C25</f>
        <v/>
      </c>
      <c r="N28" s="85" t="s">
        <v>130</v>
      </c>
    </row>
    <row r="29" spans="1:14" ht="15.5" customHeight="1" x14ac:dyDescent="0.2">
      <c r="A29" s="4">
        <v>45916</v>
      </c>
      <c r="B29" s="6">
        <v>28</v>
      </c>
      <c r="C29" s="7" t="s">
        <v>102</v>
      </c>
      <c r="D29" s="7" t="s">
        <v>5</v>
      </c>
      <c r="E29" s="7" t="s">
        <v>100</v>
      </c>
      <c r="F29" s="8">
        <v>28.1</v>
      </c>
      <c r="G29" s="81">
        <v>4798</v>
      </c>
      <c r="H29" s="82">
        <v>261343</v>
      </c>
      <c r="I29" s="52">
        <v>1.200149228480198</v>
      </c>
      <c r="J29" s="52">
        <v>29.013296864574031</v>
      </c>
      <c r="K29" s="52">
        <v>57.365712419854773</v>
      </c>
      <c r="L29" s="79">
        <f t="shared" ref="L29:L60" si="2">+G29*(I29/100)</f>
        <v>57.583159982479899</v>
      </c>
      <c r="M29" s="52">
        <f t="shared" ref="M29:M60" si="3">+I29/(4.8*(G29/1000)^(-0.32))</f>
        <v>0.41298406133659188</v>
      </c>
      <c r="N29" s="52" t="s">
        <v>129</v>
      </c>
    </row>
    <row r="30" spans="1:14" ht="15.5" customHeight="1" x14ac:dyDescent="0.2">
      <c r="A30" s="4">
        <v>45916</v>
      </c>
      <c r="B30" s="6">
        <v>29</v>
      </c>
      <c r="C30" s="7" t="s">
        <v>102</v>
      </c>
      <c r="D30" s="7" t="s">
        <v>6</v>
      </c>
      <c r="E30" s="7" t="s">
        <v>100</v>
      </c>
      <c r="F30" s="8">
        <v>23.1</v>
      </c>
      <c r="G30" s="12">
        <v>3343</v>
      </c>
      <c r="H30" s="82">
        <v>261344</v>
      </c>
      <c r="I30" s="52">
        <v>1.8301188491565941</v>
      </c>
      <c r="J30" s="52">
        <v>31.602893299344501</v>
      </c>
      <c r="K30" s="52">
        <v>53.504140895272037</v>
      </c>
      <c r="L30" s="79">
        <f t="shared" si="2"/>
        <v>61.180873127304935</v>
      </c>
      <c r="M30" s="52">
        <f t="shared" si="3"/>
        <v>0.56099849627773235</v>
      </c>
      <c r="N30" s="52" t="s">
        <v>129</v>
      </c>
    </row>
    <row r="31" spans="1:14" ht="15.5" customHeight="1" x14ac:dyDescent="0.2">
      <c r="A31" s="4">
        <v>45916</v>
      </c>
      <c r="B31" s="6">
        <v>30</v>
      </c>
      <c r="C31" s="7" t="s">
        <v>102</v>
      </c>
      <c r="D31" s="7" t="s">
        <v>7</v>
      </c>
      <c r="E31" s="7" t="s">
        <v>100</v>
      </c>
      <c r="F31" s="8">
        <v>19.8</v>
      </c>
      <c r="G31" s="12">
        <v>5066</v>
      </c>
      <c r="H31" s="82">
        <v>261345</v>
      </c>
      <c r="I31" s="52">
        <v>2.2937772740190909</v>
      </c>
      <c r="J31" s="52">
        <v>31.871631463947558</v>
      </c>
      <c r="K31" s="52">
        <v>53.251414194360002</v>
      </c>
      <c r="L31" s="79">
        <f t="shared" si="2"/>
        <v>116.20275670180715</v>
      </c>
      <c r="M31" s="52">
        <f t="shared" si="3"/>
        <v>0.80316147299980789</v>
      </c>
      <c r="N31" s="52" t="s">
        <v>129</v>
      </c>
    </row>
    <row r="32" spans="1:14" ht="15.5" customHeight="1" x14ac:dyDescent="0.2">
      <c r="A32" s="4">
        <v>45916</v>
      </c>
      <c r="B32" s="6">
        <v>31</v>
      </c>
      <c r="C32" s="7" t="s">
        <v>102</v>
      </c>
      <c r="D32" s="7" t="s">
        <v>8</v>
      </c>
      <c r="E32" s="7" t="s">
        <v>100</v>
      </c>
      <c r="F32" s="8">
        <v>19.899999999999999</v>
      </c>
      <c r="G32" s="12">
        <v>7124</v>
      </c>
      <c r="H32" s="82">
        <v>261346</v>
      </c>
      <c r="I32" s="52">
        <v>2.1811440359763949</v>
      </c>
      <c r="J32" s="52">
        <v>31.243729060451571</v>
      </c>
      <c r="K32" s="52">
        <v>53.481123807526998</v>
      </c>
      <c r="L32" s="79">
        <f t="shared" si="2"/>
        <v>155.38470112295838</v>
      </c>
      <c r="M32" s="52">
        <f t="shared" si="3"/>
        <v>0.85175513415792825</v>
      </c>
      <c r="N32" s="52" t="s">
        <v>129</v>
      </c>
    </row>
    <row r="33" spans="1:14" ht="15.5" customHeight="1" x14ac:dyDescent="0.2">
      <c r="A33" s="4">
        <v>45916</v>
      </c>
      <c r="B33" s="6">
        <v>32</v>
      </c>
      <c r="C33" s="7" t="s">
        <v>102</v>
      </c>
      <c r="D33" s="7" t="s">
        <v>9</v>
      </c>
      <c r="E33" s="7" t="s">
        <v>100</v>
      </c>
      <c r="F33" s="8">
        <v>19.2</v>
      </c>
      <c r="G33" s="12">
        <v>7344</v>
      </c>
      <c r="H33" s="82">
        <v>261347</v>
      </c>
      <c r="I33" s="52">
        <v>2.371948496246886</v>
      </c>
      <c r="J33" s="52">
        <v>31.63783685360524</v>
      </c>
      <c r="K33" s="52">
        <v>53.228489359471638</v>
      </c>
      <c r="L33" s="79">
        <f t="shared" si="2"/>
        <v>174.19589756437131</v>
      </c>
      <c r="M33" s="52">
        <f t="shared" si="3"/>
        <v>0.93532484598652488</v>
      </c>
      <c r="N33" s="52" t="s">
        <v>129</v>
      </c>
    </row>
    <row r="34" spans="1:14" ht="15.5" customHeight="1" x14ac:dyDescent="0.2">
      <c r="A34" s="4">
        <v>45916</v>
      </c>
      <c r="B34" s="6">
        <v>33</v>
      </c>
      <c r="C34" s="7" t="s">
        <v>62</v>
      </c>
      <c r="D34" s="7" t="s">
        <v>5</v>
      </c>
      <c r="E34" s="7" t="s">
        <v>97</v>
      </c>
      <c r="F34" s="8">
        <v>27.1</v>
      </c>
      <c r="G34" s="12">
        <v>5179</v>
      </c>
      <c r="H34" s="82">
        <v>261348</v>
      </c>
      <c r="I34" s="52">
        <v>1.0522819131684971</v>
      </c>
      <c r="J34" s="52">
        <v>27.084894391842681</v>
      </c>
      <c r="K34" s="52">
        <v>47.273363035957651</v>
      </c>
      <c r="L34" s="79">
        <f t="shared" si="2"/>
        <v>54.497680282996463</v>
      </c>
      <c r="M34" s="52">
        <f t="shared" si="3"/>
        <v>0.37106463054738248</v>
      </c>
      <c r="N34" s="52" t="s">
        <v>129</v>
      </c>
    </row>
    <row r="35" spans="1:14" ht="15.5" customHeight="1" x14ac:dyDescent="0.2">
      <c r="A35" s="4">
        <v>45916</v>
      </c>
      <c r="B35" s="6">
        <v>34</v>
      </c>
      <c r="C35" s="7" t="s">
        <v>62</v>
      </c>
      <c r="D35" s="7" t="s">
        <v>4</v>
      </c>
      <c r="E35" s="7" t="s">
        <v>97</v>
      </c>
      <c r="F35" s="8">
        <v>19.7</v>
      </c>
      <c r="G35" s="12">
        <v>8234</v>
      </c>
      <c r="H35" s="82">
        <v>261349</v>
      </c>
      <c r="I35" s="52">
        <v>2.524765844158015</v>
      </c>
      <c r="J35" s="52">
        <v>33.664404169378592</v>
      </c>
      <c r="K35" s="52">
        <v>63.962103916434756</v>
      </c>
      <c r="L35" s="79">
        <f t="shared" si="2"/>
        <v>207.88921960797094</v>
      </c>
      <c r="M35" s="52">
        <f t="shared" si="3"/>
        <v>1.0327027772463695</v>
      </c>
      <c r="N35" s="52" t="s">
        <v>129</v>
      </c>
    </row>
    <row r="36" spans="1:14" ht="15.5" customHeight="1" x14ac:dyDescent="0.2">
      <c r="A36" s="4">
        <v>45916</v>
      </c>
      <c r="B36" s="6">
        <v>35</v>
      </c>
      <c r="C36" s="7" t="s">
        <v>62</v>
      </c>
      <c r="D36" s="7" t="s">
        <v>9</v>
      </c>
      <c r="E36" s="7" t="s">
        <v>97</v>
      </c>
      <c r="F36" s="8">
        <v>23.1</v>
      </c>
      <c r="G36" s="12">
        <v>7915</v>
      </c>
      <c r="H36" s="82">
        <v>261350</v>
      </c>
      <c r="I36" s="52">
        <v>1.9828727485497439</v>
      </c>
      <c r="J36" s="52">
        <v>31.025325928623449</v>
      </c>
      <c r="K36" s="52">
        <v>53.194117832057877</v>
      </c>
      <c r="L36" s="79">
        <f t="shared" si="2"/>
        <v>156.94437804771223</v>
      </c>
      <c r="M36" s="52">
        <f t="shared" si="3"/>
        <v>0.80086239374536072</v>
      </c>
      <c r="N36" s="52" t="s">
        <v>129</v>
      </c>
    </row>
    <row r="37" spans="1:14" ht="15.5" customHeight="1" x14ac:dyDescent="0.2">
      <c r="A37" s="4">
        <v>45916</v>
      </c>
      <c r="B37" s="6">
        <v>36</v>
      </c>
      <c r="C37" s="7" t="s">
        <v>62</v>
      </c>
      <c r="D37" s="7" t="s">
        <v>8</v>
      </c>
      <c r="E37" s="7" t="s">
        <v>97</v>
      </c>
      <c r="F37" s="8">
        <v>19.5</v>
      </c>
      <c r="G37" s="12">
        <v>6181</v>
      </c>
      <c r="H37" s="82">
        <v>261351</v>
      </c>
      <c r="I37" s="52">
        <v>1.97238957487002</v>
      </c>
      <c r="J37" s="52">
        <v>31.048253823743629</v>
      </c>
      <c r="K37" s="52">
        <v>52.624037110808267</v>
      </c>
      <c r="L37" s="79">
        <f t="shared" si="2"/>
        <v>121.91339962271594</v>
      </c>
      <c r="M37" s="52">
        <f t="shared" si="3"/>
        <v>0.73602109023865159</v>
      </c>
      <c r="N37" s="52" t="s">
        <v>129</v>
      </c>
    </row>
    <row r="38" spans="1:14" ht="15.5" customHeight="1" x14ac:dyDescent="0.2">
      <c r="A38" s="4">
        <v>45916</v>
      </c>
      <c r="B38" s="6">
        <v>37</v>
      </c>
      <c r="C38" s="7" t="s">
        <v>62</v>
      </c>
      <c r="D38" s="7" t="s">
        <v>7</v>
      </c>
      <c r="E38" s="7" t="s">
        <v>97</v>
      </c>
      <c r="F38" s="8">
        <v>20.9</v>
      </c>
      <c r="G38" s="12">
        <v>6688</v>
      </c>
      <c r="H38" s="82">
        <v>261352</v>
      </c>
      <c r="I38" s="52">
        <v>1.7774847150475619</v>
      </c>
      <c r="J38" s="52">
        <v>30.808237436270939</v>
      </c>
      <c r="K38" s="52">
        <v>52.092940559807097</v>
      </c>
      <c r="L38" s="79">
        <f t="shared" si="2"/>
        <v>118.87817774238093</v>
      </c>
      <c r="M38" s="52">
        <f t="shared" si="3"/>
        <v>0.68023573339167864</v>
      </c>
      <c r="N38" s="52" t="s">
        <v>129</v>
      </c>
    </row>
    <row r="39" spans="1:14" ht="15.5" customHeight="1" x14ac:dyDescent="0.2">
      <c r="A39" s="4">
        <v>45916</v>
      </c>
      <c r="B39" s="6">
        <v>38</v>
      </c>
      <c r="C39" s="7" t="s">
        <v>62</v>
      </c>
      <c r="D39" s="7" t="s">
        <v>6</v>
      </c>
      <c r="E39" s="7" t="s">
        <v>97</v>
      </c>
      <c r="F39" s="8">
        <v>22.9</v>
      </c>
      <c r="G39" s="12">
        <v>4354</v>
      </c>
      <c r="H39" s="82">
        <v>261353</v>
      </c>
      <c r="I39" s="52">
        <v>2.0082069779494121</v>
      </c>
      <c r="J39" s="52">
        <v>31.301422068463221</v>
      </c>
      <c r="K39" s="52">
        <v>52.601342908061639</v>
      </c>
      <c r="L39" s="79">
        <f t="shared" si="2"/>
        <v>87.437331819917404</v>
      </c>
      <c r="M39" s="52">
        <f t="shared" si="3"/>
        <v>0.6699023947892655</v>
      </c>
      <c r="N39" s="52" t="s">
        <v>129</v>
      </c>
    </row>
    <row r="40" spans="1:14" ht="15.5" customHeight="1" x14ac:dyDescent="0.2">
      <c r="A40" s="4">
        <v>45916</v>
      </c>
      <c r="B40" s="6">
        <v>39</v>
      </c>
      <c r="C40" s="7" t="s">
        <v>62</v>
      </c>
      <c r="D40" s="7" t="s">
        <v>8</v>
      </c>
      <c r="E40" s="7" t="s">
        <v>98</v>
      </c>
      <c r="F40" s="8">
        <v>23.9</v>
      </c>
      <c r="G40" s="12">
        <v>5283</v>
      </c>
      <c r="H40" s="82">
        <v>261354</v>
      </c>
      <c r="I40" s="52">
        <v>1.616375090693281</v>
      </c>
      <c r="J40" s="52">
        <v>29.864231609613991</v>
      </c>
      <c r="K40" s="52">
        <v>51.477325715483801</v>
      </c>
      <c r="L40" s="79">
        <f t="shared" si="2"/>
        <v>85.393096041326046</v>
      </c>
      <c r="M40" s="52">
        <f t="shared" si="3"/>
        <v>0.57361791572596688</v>
      </c>
      <c r="N40" s="52" t="s">
        <v>129</v>
      </c>
    </row>
    <row r="41" spans="1:14" ht="15.5" customHeight="1" x14ac:dyDescent="0.2">
      <c r="A41" s="4">
        <v>45916</v>
      </c>
      <c r="B41" s="6">
        <v>40</v>
      </c>
      <c r="C41" s="7" t="s">
        <v>62</v>
      </c>
      <c r="D41" s="7" t="s">
        <v>9</v>
      </c>
      <c r="E41" s="7" t="s">
        <v>98</v>
      </c>
      <c r="F41" s="8">
        <v>20.5</v>
      </c>
      <c r="G41" s="12">
        <v>7926</v>
      </c>
      <c r="H41" s="82">
        <v>261355</v>
      </c>
      <c r="I41" s="52">
        <v>2.579342006453015</v>
      </c>
      <c r="J41" s="52">
        <v>32.260577203204662</v>
      </c>
      <c r="K41" s="52">
        <v>53.412122864031858</v>
      </c>
      <c r="L41" s="79">
        <f t="shared" si="2"/>
        <v>204.43864743146597</v>
      </c>
      <c r="M41" s="52">
        <f t="shared" si="3"/>
        <v>1.0422334208328108</v>
      </c>
      <c r="N41" s="52" t="s">
        <v>129</v>
      </c>
    </row>
    <row r="42" spans="1:14" ht="15.5" customHeight="1" x14ac:dyDescent="0.2">
      <c r="A42" s="4">
        <v>45916</v>
      </c>
      <c r="B42" s="6">
        <v>41</v>
      </c>
      <c r="C42" s="7" t="s">
        <v>62</v>
      </c>
      <c r="D42" s="7" t="s">
        <v>7</v>
      </c>
      <c r="E42" s="7" t="s">
        <v>98</v>
      </c>
      <c r="F42" s="8">
        <v>21.2</v>
      </c>
      <c r="G42" s="12">
        <v>6064</v>
      </c>
      <c r="H42" s="82">
        <v>261356</v>
      </c>
      <c r="I42" s="52">
        <v>2.01670650149623</v>
      </c>
      <c r="J42" s="52">
        <v>29.610234887108518</v>
      </c>
      <c r="K42" s="52">
        <v>50.00401404759409</v>
      </c>
      <c r="L42" s="79">
        <f t="shared" si="2"/>
        <v>122.29308225073139</v>
      </c>
      <c r="M42" s="52">
        <f t="shared" si="3"/>
        <v>0.74797038468587074</v>
      </c>
      <c r="N42" s="52" t="s">
        <v>129</v>
      </c>
    </row>
    <row r="43" spans="1:14" ht="15.5" customHeight="1" x14ac:dyDescent="0.2">
      <c r="A43" s="4">
        <v>45916</v>
      </c>
      <c r="B43" s="6">
        <v>42</v>
      </c>
      <c r="C43" s="7" t="s">
        <v>62</v>
      </c>
      <c r="D43" s="7" t="s">
        <v>5</v>
      </c>
      <c r="E43" s="7" t="s">
        <v>98</v>
      </c>
      <c r="F43" s="8">
        <v>29.5</v>
      </c>
      <c r="G43" s="12">
        <v>4637</v>
      </c>
      <c r="H43" s="82">
        <v>261357</v>
      </c>
      <c r="I43" s="52">
        <v>1.375054624939398</v>
      </c>
      <c r="J43" s="52">
        <v>31.607531045599469</v>
      </c>
      <c r="K43" s="52">
        <v>59.94441512648573</v>
      </c>
      <c r="L43" s="79">
        <f t="shared" si="2"/>
        <v>63.761282958439885</v>
      </c>
      <c r="M43" s="52">
        <f t="shared" si="3"/>
        <v>0.46803096223794916</v>
      </c>
      <c r="N43" s="52" t="s">
        <v>129</v>
      </c>
    </row>
    <row r="44" spans="1:14" ht="15.5" customHeight="1" x14ac:dyDescent="0.2">
      <c r="A44" s="4">
        <v>45916</v>
      </c>
      <c r="B44" s="6">
        <v>43</v>
      </c>
      <c r="C44" s="7" t="s">
        <v>62</v>
      </c>
      <c r="D44" s="7" t="s">
        <v>4</v>
      </c>
      <c r="E44" s="7" t="s">
        <v>98</v>
      </c>
      <c r="F44" s="8">
        <v>19.8</v>
      </c>
      <c r="G44" s="12">
        <v>7838</v>
      </c>
      <c r="H44" s="82">
        <v>261358</v>
      </c>
      <c r="I44" s="52">
        <v>1.8539123794239101</v>
      </c>
      <c r="J44" s="52">
        <v>31.220677348871089</v>
      </c>
      <c r="K44" s="52">
        <v>52.885623230946628</v>
      </c>
      <c r="L44" s="79">
        <f t="shared" si="2"/>
        <v>145.30965229924607</v>
      </c>
      <c r="M44" s="52">
        <f t="shared" si="3"/>
        <v>0.74643784433627713</v>
      </c>
      <c r="N44" s="52" t="s">
        <v>129</v>
      </c>
    </row>
    <row r="45" spans="1:14" ht="15.5" customHeight="1" x14ac:dyDescent="0.2">
      <c r="A45" s="4">
        <v>45916</v>
      </c>
      <c r="B45" s="6">
        <v>44</v>
      </c>
      <c r="C45" s="7" t="s">
        <v>62</v>
      </c>
      <c r="D45" s="7" t="s">
        <v>6</v>
      </c>
      <c r="E45" s="7" t="s">
        <v>98</v>
      </c>
      <c r="F45" s="8">
        <v>23.8</v>
      </c>
      <c r="G45" s="12">
        <v>5240</v>
      </c>
      <c r="H45" s="82">
        <v>261359</v>
      </c>
      <c r="I45" s="52">
        <v>1.5794278415834959</v>
      </c>
      <c r="J45" s="52">
        <v>30.808237436270939</v>
      </c>
      <c r="K45" s="52">
        <v>52.30708145507915</v>
      </c>
      <c r="L45" s="79">
        <f t="shared" si="2"/>
        <v>82.762018898975185</v>
      </c>
      <c r="M45" s="52">
        <f t="shared" si="3"/>
        <v>0.55904216318970457</v>
      </c>
      <c r="N45" s="52" t="s">
        <v>129</v>
      </c>
    </row>
    <row r="46" spans="1:14" ht="15.5" customHeight="1" x14ac:dyDescent="0.2">
      <c r="A46" s="4">
        <v>45916</v>
      </c>
      <c r="B46" s="6">
        <v>45</v>
      </c>
      <c r="C46" s="7" t="s">
        <v>62</v>
      </c>
      <c r="D46" s="7" t="s">
        <v>8</v>
      </c>
      <c r="E46" s="7" t="s">
        <v>99</v>
      </c>
      <c r="F46" s="8">
        <v>20.7</v>
      </c>
      <c r="G46" s="12">
        <v>6046</v>
      </c>
      <c r="H46" s="82">
        <v>261360</v>
      </c>
      <c r="I46" s="52">
        <v>2.0988180617550198</v>
      </c>
      <c r="J46" s="52">
        <v>30.683155498907499</v>
      </c>
      <c r="K46" s="52">
        <v>51.410551420484317</v>
      </c>
      <c r="L46" s="79">
        <f t="shared" si="2"/>
        <v>126.89454001370849</v>
      </c>
      <c r="M46" s="52">
        <f t="shared" si="3"/>
        <v>0.7776843534154354</v>
      </c>
      <c r="N46" s="52" t="s">
        <v>129</v>
      </c>
    </row>
    <row r="47" spans="1:14" ht="15.5" customHeight="1" x14ac:dyDescent="0.2">
      <c r="A47" s="4">
        <v>45916</v>
      </c>
      <c r="B47" s="6">
        <v>46</v>
      </c>
      <c r="C47" s="7" t="s">
        <v>62</v>
      </c>
      <c r="D47" s="7" t="s">
        <v>7</v>
      </c>
      <c r="E47" s="7" t="s">
        <v>99</v>
      </c>
      <c r="F47" s="8">
        <v>22.1</v>
      </c>
      <c r="G47" s="12">
        <v>6172</v>
      </c>
      <c r="H47" s="82">
        <v>261361</v>
      </c>
      <c r="I47" s="52">
        <v>2.3031532841834261</v>
      </c>
      <c r="J47" s="52">
        <v>29.687334304442821</v>
      </c>
      <c r="K47" s="52">
        <v>50.516486004822312</v>
      </c>
      <c r="L47" s="79">
        <f t="shared" si="2"/>
        <v>142.15062069980107</v>
      </c>
      <c r="M47" s="52">
        <f t="shared" si="3"/>
        <v>0.85904892593558502</v>
      </c>
      <c r="N47" s="52" t="s">
        <v>129</v>
      </c>
    </row>
    <row r="48" spans="1:14" ht="15.5" customHeight="1" x14ac:dyDescent="0.2">
      <c r="A48" s="4">
        <v>45916</v>
      </c>
      <c r="B48" s="6">
        <v>47</v>
      </c>
      <c r="C48" s="7" t="s">
        <v>62</v>
      </c>
      <c r="D48" s="7" t="s">
        <v>5</v>
      </c>
      <c r="E48" s="7" t="s">
        <v>99</v>
      </c>
      <c r="F48" s="8">
        <v>22.8</v>
      </c>
      <c r="G48" s="12">
        <v>4799</v>
      </c>
      <c r="H48" s="82">
        <v>261362</v>
      </c>
      <c r="I48" s="52">
        <v>1.5829141013424279</v>
      </c>
      <c r="J48" s="52">
        <v>28.252958849235249</v>
      </c>
      <c r="K48" s="52">
        <v>48.621243316909521</v>
      </c>
      <c r="L48" s="79">
        <f t="shared" si="2"/>
        <v>75.964047723423121</v>
      </c>
      <c r="M48" s="52">
        <f t="shared" si="3"/>
        <v>0.54473383401167574</v>
      </c>
      <c r="N48" s="52" t="s">
        <v>129</v>
      </c>
    </row>
    <row r="49" spans="1:14" ht="15.5" customHeight="1" x14ac:dyDescent="0.2">
      <c r="A49" s="4">
        <v>45916</v>
      </c>
      <c r="B49" s="6">
        <v>48</v>
      </c>
      <c r="C49" s="7" t="s">
        <v>62</v>
      </c>
      <c r="D49" s="7" t="s">
        <v>4</v>
      </c>
      <c r="E49" s="7" t="s">
        <v>99</v>
      </c>
      <c r="F49" s="8">
        <v>18.7</v>
      </c>
      <c r="G49" s="12">
        <v>7712</v>
      </c>
      <c r="H49" s="82">
        <v>261363</v>
      </c>
      <c r="I49" s="52">
        <v>2.4716672517846101</v>
      </c>
      <c r="J49" s="52">
        <v>32.343590677348871</v>
      </c>
      <c r="K49" s="52">
        <v>54.268409686549951</v>
      </c>
      <c r="L49" s="79">
        <f t="shared" si="2"/>
        <v>190.61497845762912</v>
      </c>
      <c r="M49" s="52">
        <f t="shared" si="3"/>
        <v>0.99001599846013588</v>
      </c>
      <c r="N49" s="52" t="s">
        <v>129</v>
      </c>
    </row>
    <row r="50" spans="1:14" ht="15.5" customHeight="1" x14ac:dyDescent="0.2">
      <c r="A50" s="4">
        <v>45916</v>
      </c>
      <c r="B50" s="6">
        <v>49</v>
      </c>
      <c r="C50" s="7" t="s">
        <v>62</v>
      </c>
      <c r="D50" s="7" t="s">
        <v>6</v>
      </c>
      <c r="E50" s="7" t="s">
        <v>99</v>
      </c>
      <c r="F50" s="8">
        <v>23.7</v>
      </c>
      <c r="G50" s="12">
        <v>8180</v>
      </c>
      <c r="H50" s="82">
        <v>261364</v>
      </c>
      <c r="I50" s="52">
        <v>2.057938500760653</v>
      </c>
      <c r="J50" s="52">
        <v>31.207102296084809</v>
      </c>
      <c r="K50" s="52">
        <v>61.388349884384127</v>
      </c>
      <c r="L50" s="79">
        <f t="shared" si="2"/>
        <v>168.33936936222139</v>
      </c>
      <c r="M50" s="52">
        <f t="shared" si="3"/>
        <v>0.83998631767118603</v>
      </c>
      <c r="N50" s="52" t="s">
        <v>129</v>
      </c>
    </row>
    <row r="51" spans="1:14" ht="15.5" customHeight="1" x14ac:dyDescent="0.2">
      <c r="A51" s="4">
        <v>45916</v>
      </c>
      <c r="B51" s="6">
        <v>50</v>
      </c>
      <c r="C51" s="7" t="s">
        <v>62</v>
      </c>
      <c r="D51" s="7" t="s">
        <v>9</v>
      </c>
      <c r="E51" s="7" t="s">
        <v>99</v>
      </c>
      <c r="F51" s="8">
        <v>20.3</v>
      </c>
      <c r="G51" s="12">
        <v>8112</v>
      </c>
      <c r="H51" s="82">
        <v>261365</v>
      </c>
      <c r="I51" s="52">
        <v>2.0813259909390309</v>
      </c>
      <c r="J51" s="52">
        <v>31.777938820101969</v>
      </c>
      <c r="K51" s="52">
        <v>52.885623230946628</v>
      </c>
      <c r="L51" s="79">
        <f t="shared" si="2"/>
        <v>168.83716438497419</v>
      </c>
      <c r="M51" s="52">
        <f t="shared" si="3"/>
        <v>0.84726606385615022</v>
      </c>
      <c r="N51" s="52" t="s">
        <v>129</v>
      </c>
    </row>
    <row r="52" spans="1:14" ht="15.5" customHeight="1" x14ac:dyDescent="0.2">
      <c r="A52" s="4">
        <v>45916</v>
      </c>
      <c r="B52" s="6">
        <v>51</v>
      </c>
      <c r="C52" s="7" t="s">
        <v>62</v>
      </c>
      <c r="D52" s="7" t="s">
        <v>4</v>
      </c>
      <c r="E52" s="7" t="s">
        <v>100</v>
      </c>
      <c r="F52" s="8">
        <v>16.600000000000001</v>
      </c>
      <c r="G52" s="12">
        <v>6397</v>
      </c>
      <c r="H52" s="82">
        <v>261366</v>
      </c>
      <c r="I52" s="52">
        <v>2.6150819466038082</v>
      </c>
      <c r="J52" s="52">
        <v>31.55635287691187</v>
      </c>
      <c r="K52" s="52">
        <v>53.262879756787918</v>
      </c>
      <c r="L52" s="79">
        <f t="shared" si="2"/>
        <v>167.28679212424561</v>
      </c>
      <c r="M52" s="52">
        <f t="shared" si="3"/>
        <v>0.9866349540592847</v>
      </c>
      <c r="N52" s="52" t="s">
        <v>129</v>
      </c>
    </row>
    <row r="53" spans="1:14" ht="15.5" customHeight="1" x14ac:dyDescent="0.2">
      <c r="A53" s="4">
        <v>45916</v>
      </c>
      <c r="B53" s="6">
        <v>52</v>
      </c>
      <c r="C53" s="7" t="s">
        <v>62</v>
      </c>
      <c r="D53" s="7" t="s">
        <v>5</v>
      </c>
      <c r="E53" s="7" t="s">
        <v>100</v>
      </c>
      <c r="F53" s="8">
        <v>27.8</v>
      </c>
      <c r="G53" s="12">
        <v>4064</v>
      </c>
      <c r="H53" s="82">
        <v>261367</v>
      </c>
      <c r="I53" s="52">
        <v>1.283714181587174</v>
      </c>
      <c r="J53" s="52">
        <v>25.169147851420249</v>
      </c>
      <c r="K53" s="52">
        <v>44.84870950833421</v>
      </c>
      <c r="L53" s="79">
        <f t="shared" si="2"/>
        <v>52.170144339702752</v>
      </c>
      <c r="M53" s="52">
        <f t="shared" si="3"/>
        <v>0.41888256611443186</v>
      </c>
      <c r="N53" s="52" t="s">
        <v>129</v>
      </c>
    </row>
    <row r="54" spans="1:14" ht="15.5" customHeight="1" x14ac:dyDescent="0.2">
      <c r="A54" s="4">
        <v>45916</v>
      </c>
      <c r="B54" s="6">
        <v>53</v>
      </c>
      <c r="C54" s="7" t="s">
        <v>62</v>
      </c>
      <c r="D54" s="7" t="s">
        <v>6</v>
      </c>
      <c r="E54" s="7" t="s">
        <v>100</v>
      </c>
      <c r="F54" s="8">
        <v>21</v>
      </c>
      <c r="G54" s="12">
        <v>5637</v>
      </c>
      <c r="H54" s="82">
        <v>261368</v>
      </c>
      <c r="I54" s="52">
        <v>1.98474136951034</v>
      </c>
      <c r="J54" s="52">
        <v>32.500072732877022</v>
      </c>
      <c r="K54" s="52">
        <v>62.252804239973131</v>
      </c>
      <c r="L54" s="79">
        <f t="shared" si="2"/>
        <v>111.87987099929786</v>
      </c>
      <c r="M54" s="52">
        <f t="shared" si="3"/>
        <v>0.71911451667855986</v>
      </c>
      <c r="N54" s="52" t="s">
        <v>129</v>
      </c>
    </row>
    <row r="55" spans="1:14" ht="15.5" customHeight="1" x14ac:dyDescent="0.2">
      <c r="A55" s="4">
        <v>45916</v>
      </c>
      <c r="B55" s="6">
        <v>54</v>
      </c>
      <c r="C55" s="7" t="s">
        <v>62</v>
      </c>
      <c r="D55" s="7" t="s">
        <v>7</v>
      </c>
      <c r="E55" s="7" t="s">
        <v>100</v>
      </c>
      <c r="F55" s="8">
        <v>22.3</v>
      </c>
      <c r="G55" s="12">
        <v>7506</v>
      </c>
      <c r="H55" s="82">
        <v>261369</v>
      </c>
      <c r="I55" s="52">
        <v>1.6668124446227659</v>
      </c>
      <c r="J55" s="52">
        <v>29.577246904588488</v>
      </c>
      <c r="K55" s="52">
        <v>50.812979347940029</v>
      </c>
      <c r="L55" s="79">
        <f t="shared" si="2"/>
        <v>125.11094209338481</v>
      </c>
      <c r="M55" s="52">
        <f t="shared" si="3"/>
        <v>0.66187539424952302</v>
      </c>
      <c r="N55" s="52" t="s">
        <v>129</v>
      </c>
    </row>
    <row r="56" spans="1:14" ht="15.5" customHeight="1" x14ac:dyDescent="0.2">
      <c r="A56" s="4">
        <v>45916</v>
      </c>
      <c r="B56" s="6">
        <v>55</v>
      </c>
      <c r="C56" s="7" t="s">
        <v>62</v>
      </c>
      <c r="D56" s="7" t="s">
        <v>8</v>
      </c>
      <c r="E56" s="7" t="s">
        <v>100</v>
      </c>
      <c r="F56" s="8">
        <v>25.1</v>
      </c>
      <c r="G56" s="12">
        <v>7528</v>
      </c>
      <c r="H56" s="82">
        <v>261370</v>
      </c>
      <c r="I56" s="52">
        <v>1.512814430680242</v>
      </c>
      <c r="J56" s="52">
        <v>28.75248361252731</v>
      </c>
      <c r="K56" s="52">
        <v>49.174441765384209</v>
      </c>
      <c r="L56" s="79">
        <f t="shared" si="2"/>
        <v>113.88467034160861</v>
      </c>
      <c r="M56" s="52">
        <f t="shared" si="3"/>
        <v>0.60128711375206634</v>
      </c>
      <c r="N56" s="52" t="s">
        <v>129</v>
      </c>
    </row>
    <row r="57" spans="1:14" ht="15.5" customHeight="1" x14ac:dyDescent="0.2">
      <c r="A57" s="4">
        <v>45916</v>
      </c>
      <c r="B57" s="6">
        <v>56</v>
      </c>
      <c r="C57" s="7" t="s">
        <v>62</v>
      </c>
      <c r="D57" s="7" t="s">
        <v>9</v>
      </c>
      <c r="E57" s="7" t="s">
        <v>100</v>
      </c>
      <c r="F57" s="8">
        <v>17.600000000000001</v>
      </c>
      <c r="G57" s="12">
        <v>9258</v>
      </c>
      <c r="H57" s="82">
        <v>261371</v>
      </c>
      <c r="I57" s="52">
        <v>2.8008415149539432</v>
      </c>
      <c r="J57" s="52">
        <v>32.530304199794379</v>
      </c>
      <c r="K57" s="52">
        <v>59.931032250958062</v>
      </c>
      <c r="L57" s="79">
        <f t="shared" si="2"/>
        <v>259.30190745443605</v>
      </c>
      <c r="M57" s="52">
        <f t="shared" si="3"/>
        <v>1.1894133100711415</v>
      </c>
      <c r="N57" s="52" t="s">
        <v>129</v>
      </c>
    </row>
    <row r="58" spans="1:14" ht="15.5" customHeight="1" x14ac:dyDescent="0.2">
      <c r="A58" s="21">
        <v>45950</v>
      </c>
      <c r="B58" s="22">
        <v>57</v>
      </c>
      <c r="C58" s="23" t="s">
        <v>102</v>
      </c>
      <c r="D58" s="23" t="s">
        <v>5</v>
      </c>
      <c r="E58" s="24" t="s">
        <v>97</v>
      </c>
      <c r="F58" s="27">
        <v>34</v>
      </c>
      <c r="G58" s="28">
        <v>5948</v>
      </c>
      <c r="H58" s="82">
        <v>261372</v>
      </c>
      <c r="I58" s="52">
        <v>0.96717968470501703</v>
      </c>
      <c r="J58" s="52">
        <v>33.147175892206853</v>
      </c>
      <c r="K58" s="52">
        <v>48.70598175909425</v>
      </c>
      <c r="L58" s="79">
        <f t="shared" si="2"/>
        <v>57.527847646254408</v>
      </c>
      <c r="M58" s="52">
        <f t="shared" si="3"/>
        <v>0.35650418755532959</v>
      </c>
      <c r="N58" s="52" t="s">
        <v>129</v>
      </c>
    </row>
    <row r="59" spans="1:14" ht="15.5" customHeight="1" x14ac:dyDescent="0.2">
      <c r="A59" s="21">
        <v>45950</v>
      </c>
      <c r="B59" s="22">
        <v>58</v>
      </c>
      <c r="C59" s="23" t="s">
        <v>102</v>
      </c>
      <c r="D59" s="23" t="s">
        <v>4</v>
      </c>
      <c r="E59" s="24" t="s">
        <v>97</v>
      </c>
      <c r="F59" s="27">
        <v>31.3</v>
      </c>
      <c r="G59" s="28">
        <v>15329</v>
      </c>
      <c r="H59" s="82">
        <v>261373</v>
      </c>
      <c r="I59" s="52">
        <v>1.1906131450925319</v>
      </c>
      <c r="J59" s="52">
        <v>37.485907368256079</v>
      </c>
      <c r="K59" s="52">
        <v>66.283799981354818</v>
      </c>
      <c r="L59" s="79">
        <f t="shared" si="2"/>
        <v>182.50908901123421</v>
      </c>
      <c r="M59" s="52">
        <f t="shared" si="3"/>
        <v>0.59414693281360087</v>
      </c>
      <c r="N59" s="52" t="s">
        <v>129</v>
      </c>
    </row>
    <row r="60" spans="1:14" ht="15.5" customHeight="1" x14ac:dyDescent="0.2">
      <c r="A60" s="21">
        <v>45950</v>
      </c>
      <c r="B60" s="22">
        <v>59</v>
      </c>
      <c r="C60" s="23" t="s">
        <v>102</v>
      </c>
      <c r="D60" s="23" t="s">
        <v>9</v>
      </c>
      <c r="E60" s="24" t="s">
        <v>97</v>
      </c>
      <c r="F60" s="27">
        <v>27.2</v>
      </c>
      <c r="G60" s="28">
        <v>12704</v>
      </c>
      <c r="H60" s="82">
        <v>261374</v>
      </c>
      <c r="I60" s="52">
        <v>2.0359305749201728</v>
      </c>
      <c r="J60" s="52">
        <v>35.797561908230151</v>
      </c>
      <c r="K60" s="52">
        <v>51.722810567145402</v>
      </c>
      <c r="L60" s="79">
        <f t="shared" si="2"/>
        <v>258.64462023785876</v>
      </c>
      <c r="M60" s="52">
        <f t="shared" si="3"/>
        <v>0.95671521851096886</v>
      </c>
      <c r="N60" s="52" t="s">
        <v>129</v>
      </c>
    </row>
    <row r="61" spans="1:14" ht="15.5" customHeight="1" x14ac:dyDescent="0.2">
      <c r="A61" s="21">
        <v>45950</v>
      </c>
      <c r="B61" s="22">
        <v>60</v>
      </c>
      <c r="C61" s="23" t="s">
        <v>102</v>
      </c>
      <c r="D61" s="23" t="s">
        <v>8</v>
      </c>
      <c r="E61" s="24" t="s">
        <v>97</v>
      </c>
      <c r="F61" s="27">
        <v>27.6</v>
      </c>
      <c r="G61" s="28">
        <v>11328</v>
      </c>
      <c r="H61" s="82">
        <v>261375</v>
      </c>
      <c r="I61" s="52">
        <v>1.4107084474313321</v>
      </c>
      <c r="J61" s="52">
        <v>38.543364894391843</v>
      </c>
      <c r="K61" s="52">
        <v>54.117149596393737</v>
      </c>
      <c r="L61" s="79">
        <f t="shared" ref="L61:L92" si="4">+G61*(I61/100)</f>
        <v>159.8050529250213</v>
      </c>
      <c r="M61" s="52">
        <f t="shared" ref="M61:M92" si="5">+I61/(4.8*(G61/1000)^(-0.32))</f>
        <v>0.63903561994468072</v>
      </c>
      <c r="N61" s="52" t="s">
        <v>129</v>
      </c>
    </row>
    <row r="62" spans="1:14" ht="15.5" customHeight="1" x14ac:dyDescent="0.2">
      <c r="A62" s="21">
        <v>45950</v>
      </c>
      <c r="B62" s="22">
        <v>61</v>
      </c>
      <c r="C62" s="23" t="s">
        <v>102</v>
      </c>
      <c r="D62" s="23" t="s">
        <v>7</v>
      </c>
      <c r="E62" s="24" t="s">
        <v>97</v>
      </c>
      <c r="F62" s="27">
        <v>29.6</v>
      </c>
      <c r="G62" s="28">
        <v>9835</v>
      </c>
      <c r="H62" s="82">
        <v>261376</v>
      </c>
      <c r="I62" s="52">
        <v>1.6092793152448299</v>
      </c>
      <c r="J62" s="52">
        <v>37.82547159504734</v>
      </c>
      <c r="K62" s="52">
        <v>53.804126218681198</v>
      </c>
      <c r="L62" s="79">
        <f t="shared" si="4"/>
        <v>158.27262065432902</v>
      </c>
      <c r="M62" s="52">
        <f t="shared" si="5"/>
        <v>0.6967516218914348</v>
      </c>
      <c r="N62" s="52" t="s">
        <v>129</v>
      </c>
    </row>
    <row r="63" spans="1:14" ht="15.5" customHeight="1" x14ac:dyDescent="0.2">
      <c r="A63" s="21">
        <v>45950</v>
      </c>
      <c r="B63" s="22">
        <v>62</v>
      </c>
      <c r="C63" s="23" t="s">
        <v>102</v>
      </c>
      <c r="D63" s="23" t="s">
        <v>6</v>
      </c>
      <c r="E63" s="24" t="s">
        <v>97</v>
      </c>
      <c r="F63" s="27">
        <v>40.700000000000003</v>
      </c>
      <c r="G63" s="28">
        <v>10132</v>
      </c>
      <c r="H63" s="82">
        <v>261377</v>
      </c>
      <c r="I63" s="52">
        <v>1.618153314275206</v>
      </c>
      <c r="J63" s="52">
        <v>35.502104879825197</v>
      </c>
      <c r="K63" s="52">
        <v>51.044641996016352</v>
      </c>
      <c r="L63" s="79">
        <f t="shared" si="4"/>
        <v>163.95129380236389</v>
      </c>
      <c r="M63" s="52">
        <f t="shared" si="5"/>
        <v>0.70729548806404785</v>
      </c>
      <c r="N63" s="52" t="s">
        <v>129</v>
      </c>
    </row>
    <row r="64" spans="1:14" ht="15.5" customHeight="1" x14ac:dyDescent="0.2">
      <c r="A64" s="29">
        <v>45950</v>
      </c>
      <c r="B64" s="30">
        <v>63</v>
      </c>
      <c r="C64" s="31" t="s">
        <v>102</v>
      </c>
      <c r="D64" s="31" t="s">
        <v>8</v>
      </c>
      <c r="E64" s="32" t="s">
        <v>98</v>
      </c>
      <c r="F64" s="27">
        <v>30.1</v>
      </c>
      <c r="G64" s="28">
        <v>15365</v>
      </c>
      <c r="H64" s="82">
        <v>261378</v>
      </c>
      <c r="I64" s="52">
        <v>1.7563989635053581</v>
      </c>
      <c r="J64" s="52">
        <v>38.366331026948288</v>
      </c>
      <c r="K64" s="52">
        <v>54.665688227277492</v>
      </c>
      <c r="L64" s="79">
        <f t="shared" si="4"/>
        <v>269.87070074259827</v>
      </c>
      <c r="M64" s="52">
        <f t="shared" si="5"/>
        <v>0.87714694564643603</v>
      </c>
      <c r="N64" s="52" t="s">
        <v>129</v>
      </c>
    </row>
    <row r="65" spans="1:14" ht="15.5" customHeight="1" x14ac:dyDescent="0.2">
      <c r="A65" s="21">
        <v>45950</v>
      </c>
      <c r="B65" s="22">
        <v>64</v>
      </c>
      <c r="C65" s="23" t="s">
        <v>102</v>
      </c>
      <c r="D65" s="23" t="s">
        <v>9</v>
      </c>
      <c r="E65" s="24" t="s">
        <v>98</v>
      </c>
      <c r="F65" s="27">
        <v>30.1</v>
      </c>
      <c r="G65" s="28">
        <v>16562</v>
      </c>
      <c r="H65" s="82">
        <v>261379</v>
      </c>
      <c r="I65" s="52">
        <v>1.316104186100941</v>
      </c>
      <c r="J65" s="52">
        <v>37.06763362728995</v>
      </c>
      <c r="K65" s="52">
        <v>66.07737759773407</v>
      </c>
      <c r="L65" s="79">
        <f t="shared" si="4"/>
        <v>217.97317530203784</v>
      </c>
      <c r="M65" s="52">
        <f t="shared" si="5"/>
        <v>0.67323257691362548</v>
      </c>
      <c r="N65" s="52" t="s">
        <v>129</v>
      </c>
    </row>
    <row r="66" spans="1:14" ht="15.5" customHeight="1" x14ac:dyDescent="0.2">
      <c r="A66" s="21">
        <v>45950</v>
      </c>
      <c r="B66" s="22">
        <v>65</v>
      </c>
      <c r="C66" s="23" t="s">
        <v>102</v>
      </c>
      <c r="D66" s="23" t="s">
        <v>7</v>
      </c>
      <c r="E66" s="24" t="s">
        <v>98</v>
      </c>
      <c r="F66" s="27">
        <v>32.5</v>
      </c>
      <c r="G66" s="28">
        <v>13374</v>
      </c>
      <c r="H66" s="82">
        <v>261380</v>
      </c>
      <c r="I66" s="52">
        <v>1.752587445040708</v>
      </c>
      <c r="J66" s="52">
        <v>38.625280407865993</v>
      </c>
      <c r="K66" s="52">
        <v>54.712586224971169</v>
      </c>
      <c r="L66" s="79">
        <f t="shared" si="4"/>
        <v>234.39104489974429</v>
      </c>
      <c r="M66" s="52">
        <f t="shared" si="5"/>
        <v>0.83722479325246202</v>
      </c>
      <c r="N66" s="52" t="s">
        <v>129</v>
      </c>
    </row>
    <row r="67" spans="1:14" ht="15.5" customHeight="1" x14ac:dyDescent="0.2">
      <c r="A67" s="21">
        <v>45950</v>
      </c>
      <c r="B67" s="22">
        <v>66</v>
      </c>
      <c r="C67" s="23" t="s">
        <v>102</v>
      </c>
      <c r="D67" s="23" t="s">
        <v>5</v>
      </c>
      <c r="E67" s="24" t="s">
        <v>98</v>
      </c>
      <c r="F67" s="27">
        <v>31.8</v>
      </c>
      <c r="G67" s="28">
        <v>7668</v>
      </c>
      <c r="H67" s="82">
        <v>261381</v>
      </c>
      <c r="I67" s="52">
        <v>1.0991495528027151</v>
      </c>
      <c r="J67" s="52">
        <v>34.552041150764751</v>
      </c>
      <c r="K67" s="52">
        <v>43.474956494391449</v>
      </c>
      <c r="L67" s="79">
        <f t="shared" si="4"/>
        <v>84.282787708912181</v>
      </c>
      <c r="M67" s="52">
        <f t="shared" si="5"/>
        <v>0.43945440642365247</v>
      </c>
      <c r="N67" s="52" t="s">
        <v>129</v>
      </c>
    </row>
    <row r="68" spans="1:14" ht="15.5" customHeight="1" x14ac:dyDescent="0.2">
      <c r="A68" s="21">
        <v>45950</v>
      </c>
      <c r="B68" s="22">
        <v>67</v>
      </c>
      <c r="C68" s="23" t="s">
        <v>102</v>
      </c>
      <c r="D68" s="23" t="s">
        <v>4</v>
      </c>
      <c r="E68" s="24" t="s">
        <v>98</v>
      </c>
      <c r="F68" s="27">
        <v>30.2</v>
      </c>
      <c r="G68" s="28">
        <v>13220</v>
      </c>
      <c r="H68" s="82">
        <v>261382</v>
      </c>
      <c r="I68" s="52">
        <v>1.364474634301285</v>
      </c>
      <c r="J68" s="52">
        <v>39.064377276037867</v>
      </c>
      <c r="K68" s="52">
        <v>48.782523325296161</v>
      </c>
      <c r="L68" s="79">
        <f t="shared" si="4"/>
        <v>180.38354665462987</v>
      </c>
      <c r="M68" s="52">
        <f t="shared" si="5"/>
        <v>0.64940898754366561</v>
      </c>
      <c r="N68" s="52" t="s">
        <v>129</v>
      </c>
    </row>
    <row r="69" spans="1:14" ht="15.5" customHeight="1" x14ac:dyDescent="0.2">
      <c r="A69" s="21">
        <v>45950</v>
      </c>
      <c r="B69" s="22">
        <v>68</v>
      </c>
      <c r="C69" s="23" t="s">
        <v>102</v>
      </c>
      <c r="D69" s="23" t="s">
        <v>6</v>
      </c>
      <c r="E69" s="24" t="s">
        <v>98</v>
      </c>
      <c r="F69" s="27">
        <v>28.9</v>
      </c>
      <c r="G69" s="28">
        <v>9307</v>
      </c>
      <c r="H69" s="82">
        <v>261383</v>
      </c>
      <c r="I69" s="52">
        <v>1.618153314275206</v>
      </c>
      <c r="J69" s="52">
        <v>37.731420247632919</v>
      </c>
      <c r="K69" s="52">
        <v>46.976874934479497</v>
      </c>
      <c r="L69" s="79">
        <f t="shared" si="4"/>
        <v>150.60152895959342</v>
      </c>
      <c r="M69" s="52">
        <f t="shared" si="5"/>
        <v>0.68833133137187696</v>
      </c>
      <c r="N69" s="52" t="s">
        <v>129</v>
      </c>
    </row>
    <row r="70" spans="1:14" ht="15.5" customHeight="1" x14ac:dyDescent="0.2">
      <c r="A70" s="21">
        <v>45950</v>
      </c>
      <c r="B70" s="22">
        <v>69</v>
      </c>
      <c r="C70" s="23" t="s">
        <v>102</v>
      </c>
      <c r="D70" s="23" t="s">
        <v>8</v>
      </c>
      <c r="E70" s="24" t="s">
        <v>99</v>
      </c>
      <c r="F70" s="27">
        <v>28.4</v>
      </c>
      <c r="G70" s="28">
        <v>11039</v>
      </c>
      <c r="H70" s="82">
        <v>261384</v>
      </c>
      <c r="I70" s="52">
        <v>1.6450320945550601</v>
      </c>
      <c r="J70" s="52">
        <v>38.081653313911147</v>
      </c>
      <c r="K70" s="52">
        <v>54.047456756473423</v>
      </c>
      <c r="L70" s="79">
        <f t="shared" si="4"/>
        <v>181.59509291793307</v>
      </c>
      <c r="M70" s="52">
        <f t="shared" si="5"/>
        <v>0.73904460795272009</v>
      </c>
      <c r="N70" s="52" t="s">
        <v>129</v>
      </c>
    </row>
    <row r="71" spans="1:14" ht="15.5" customHeight="1" x14ac:dyDescent="0.2">
      <c r="A71" s="21">
        <v>45950</v>
      </c>
      <c r="B71" s="22">
        <v>70</v>
      </c>
      <c r="C71" s="23" t="s">
        <v>102</v>
      </c>
      <c r="D71" s="23" t="s">
        <v>7</v>
      </c>
      <c r="E71" s="24" t="s">
        <v>99</v>
      </c>
      <c r="F71" s="27">
        <v>28.1</v>
      </c>
      <c r="G71" s="28">
        <v>13530</v>
      </c>
      <c r="H71" s="82">
        <v>261385</v>
      </c>
      <c r="I71" s="52">
        <v>1.75068425364027</v>
      </c>
      <c r="J71" s="52">
        <v>36.381201747997089</v>
      </c>
      <c r="K71" s="52">
        <v>52.295792011741277</v>
      </c>
      <c r="L71" s="79">
        <f t="shared" si="4"/>
        <v>236.86757951752855</v>
      </c>
      <c r="M71" s="52">
        <f t="shared" si="5"/>
        <v>0.83942496854380544</v>
      </c>
      <c r="N71" s="52" t="s">
        <v>129</v>
      </c>
    </row>
    <row r="72" spans="1:14" ht="15.5" customHeight="1" x14ac:dyDescent="0.2">
      <c r="A72" s="21">
        <v>45950</v>
      </c>
      <c r="B72" s="22">
        <v>71</v>
      </c>
      <c r="C72" s="23" t="s">
        <v>102</v>
      </c>
      <c r="D72" s="23" t="s">
        <v>5</v>
      </c>
      <c r="E72" s="24" t="s">
        <v>99</v>
      </c>
      <c r="F72" s="27">
        <v>31.3</v>
      </c>
      <c r="G72" s="28">
        <v>4942</v>
      </c>
      <c r="H72" s="82">
        <v>261386</v>
      </c>
      <c r="I72" s="52">
        <v>1.087544198137653</v>
      </c>
      <c r="J72" s="52">
        <v>34.167649819154619</v>
      </c>
      <c r="K72" s="52">
        <v>62.552379468935783</v>
      </c>
      <c r="L72" s="79">
        <f t="shared" si="4"/>
        <v>53.746434271962812</v>
      </c>
      <c r="M72" s="52">
        <f t="shared" si="5"/>
        <v>0.37779356443682061</v>
      </c>
      <c r="N72" s="52" t="s">
        <v>129</v>
      </c>
    </row>
    <row r="73" spans="1:14" ht="15.5" customHeight="1" x14ac:dyDescent="0.2">
      <c r="A73" s="21">
        <v>45950</v>
      </c>
      <c r="B73" s="22">
        <v>72</v>
      </c>
      <c r="C73" s="23" t="s">
        <v>102</v>
      </c>
      <c r="D73" s="23" t="s">
        <v>4</v>
      </c>
      <c r="E73" s="24" t="s">
        <v>99</v>
      </c>
      <c r="F73" s="27">
        <v>29.7</v>
      </c>
      <c r="G73" s="28">
        <v>10325</v>
      </c>
      <c r="H73" s="82">
        <v>261387</v>
      </c>
      <c r="I73" s="52">
        <v>1.4895370346222649</v>
      </c>
      <c r="J73" s="52">
        <v>38.666287327021116</v>
      </c>
      <c r="K73" s="52">
        <v>54.712586224971169</v>
      </c>
      <c r="L73" s="79">
        <f t="shared" si="4"/>
        <v>153.79469882474885</v>
      </c>
      <c r="M73" s="52">
        <f t="shared" si="5"/>
        <v>0.65502049299179876</v>
      </c>
      <c r="N73" s="52" t="s">
        <v>129</v>
      </c>
    </row>
    <row r="74" spans="1:14" ht="15.5" customHeight="1" x14ac:dyDescent="0.2">
      <c r="A74" s="21">
        <v>45950</v>
      </c>
      <c r="B74" s="22">
        <v>73</v>
      </c>
      <c r="C74" s="23" t="s">
        <v>102</v>
      </c>
      <c r="D74" s="23" t="s">
        <v>6</v>
      </c>
      <c r="E74" s="24" t="s">
        <v>99</v>
      </c>
      <c r="F74" s="27">
        <v>29.8</v>
      </c>
      <c r="G74" s="28">
        <v>8352</v>
      </c>
      <c r="H74" s="82">
        <v>261388</v>
      </c>
      <c r="I74" s="52">
        <v>1.905238744838424</v>
      </c>
      <c r="J74" s="52">
        <v>34.040143651257651</v>
      </c>
      <c r="K74" s="52">
        <v>62.073606223241008</v>
      </c>
      <c r="L74" s="79">
        <f t="shared" si="4"/>
        <v>159.12553996890517</v>
      </c>
      <c r="M74" s="52">
        <f t="shared" si="5"/>
        <v>0.78285462695171848</v>
      </c>
      <c r="N74" s="52" t="s">
        <v>129</v>
      </c>
    </row>
    <row r="75" spans="1:14" ht="15.5" customHeight="1" x14ac:dyDescent="0.2">
      <c r="A75" s="21">
        <v>45950</v>
      </c>
      <c r="B75" s="22">
        <v>74</v>
      </c>
      <c r="C75" s="23" t="s">
        <v>102</v>
      </c>
      <c r="D75" s="23" t="s">
        <v>9</v>
      </c>
      <c r="E75" s="24" t="s">
        <v>99</v>
      </c>
      <c r="F75" s="27">
        <v>32.299999999999997</v>
      </c>
      <c r="G75" s="28">
        <v>9892</v>
      </c>
      <c r="H75" s="82">
        <v>261389</v>
      </c>
      <c r="I75" s="52">
        <v>1.509468545731147</v>
      </c>
      <c r="J75" s="52">
        <v>35.913699927166789</v>
      </c>
      <c r="K75" s="52">
        <v>50.967318377188377</v>
      </c>
      <c r="L75" s="79">
        <f t="shared" si="4"/>
        <v>149.31662854372507</v>
      </c>
      <c r="M75" s="52">
        <f t="shared" si="5"/>
        <v>0.6547473430152142</v>
      </c>
      <c r="N75" s="52" t="s">
        <v>129</v>
      </c>
    </row>
    <row r="76" spans="1:14" ht="15.5" customHeight="1" x14ac:dyDescent="0.2">
      <c r="A76" s="21">
        <v>45950</v>
      </c>
      <c r="B76" s="22">
        <v>75</v>
      </c>
      <c r="C76" s="23" t="s">
        <v>102</v>
      </c>
      <c r="D76" s="23" t="s">
        <v>4</v>
      </c>
      <c r="E76" s="24" t="s">
        <v>100</v>
      </c>
      <c r="F76" s="27">
        <v>26.1</v>
      </c>
      <c r="G76" s="28">
        <v>11541</v>
      </c>
      <c r="H76" s="82">
        <v>261390</v>
      </c>
      <c r="I76" s="52">
        <v>1.632440730895899</v>
      </c>
      <c r="J76" s="52">
        <v>39.202359796067007</v>
      </c>
      <c r="K76" s="52">
        <v>55.621911101792648</v>
      </c>
      <c r="L76" s="79">
        <f t="shared" si="4"/>
        <v>188.3999847526957</v>
      </c>
      <c r="M76" s="52">
        <f t="shared" si="5"/>
        <v>0.74389919036251684</v>
      </c>
      <c r="N76" s="52" t="s">
        <v>129</v>
      </c>
    </row>
    <row r="77" spans="1:14" ht="15.5" customHeight="1" x14ac:dyDescent="0.2">
      <c r="A77" s="21">
        <v>45950</v>
      </c>
      <c r="B77" s="22">
        <v>76</v>
      </c>
      <c r="C77" s="23" t="s">
        <v>102</v>
      </c>
      <c r="D77" s="23" t="s">
        <v>5</v>
      </c>
      <c r="E77" s="24" t="s">
        <v>100</v>
      </c>
      <c r="F77" s="27">
        <v>32.9</v>
      </c>
      <c r="G77" s="28">
        <v>7862</v>
      </c>
      <c r="H77" s="82">
        <v>261391</v>
      </c>
      <c r="I77" s="52">
        <v>1.032614888744003</v>
      </c>
      <c r="J77" s="52">
        <v>32.773335761107063</v>
      </c>
      <c r="K77" s="52">
        <v>47.885505818219933</v>
      </c>
      <c r="L77" s="79">
        <f t="shared" si="4"/>
        <v>81.184182553053517</v>
      </c>
      <c r="M77" s="52">
        <f t="shared" si="5"/>
        <v>0.41616707480588289</v>
      </c>
      <c r="N77" s="52" t="s">
        <v>129</v>
      </c>
    </row>
    <row r="78" spans="1:14" ht="15.5" customHeight="1" x14ac:dyDescent="0.2">
      <c r="A78" s="21">
        <v>45950</v>
      </c>
      <c r="B78" s="22">
        <v>77</v>
      </c>
      <c r="C78" s="23" t="s">
        <v>102</v>
      </c>
      <c r="D78" s="23" t="s">
        <v>6</v>
      </c>
      <c r="E78" s="24" t="s">
        <v>100</v>
      </c>
      <c r="F78" s="27">
        <v>27</v>
      </c>
      <c r="G78" s="28">
        <v>11374</v>
      </c>
      <c r="H78" s="82">
        <v>261392</v>
      </c>
      <c r="I78" s="52">
        <v>1.957785031011251</v>
      </c>
      <c r="J78" s="52">
        <v>38.284830662782227</v>
      </c>
      <c r="K78" s="52">
        <v>54.105528881434111</v>
      </c>
      <c r="L78" s="79">
        <f t="shared" si="4"/>
        <v>222.67846942721968</v>
      </c>
      <c r="M78" s="52">
        <f t="shared" si="5"/>
        <v>0.88800619978363715</v>
      </c>
      <c r="N78" s="52" t="s">
        <v>129</v>
      </c>
    </row>
    <row r="79" spans="1:14" ht="15.5" customHeight="1" x14ac:dyDescent="0.2">
      <c r="A79" s="21">
        <v>45950</v>
      </c>
      <c r="B79" s="22">
        <v>78</v>
      </c>
      <c r="C79" s="23" t="s">
        <v>102</v>
      </c>
      <c r="D79" s="23" t="s">
        <v>7</v>
      </c>
      <c r="E79" s="24" t="s">
        <v>100</v>
      </c>
      <c r="F79" s="27">
        <v>26.7</v>
      </c>
      <c r="G79" s="28">
        <v>10903</v>
      </c>
      <c r="H79" s="82">
        <v>261393</v>
      </c>
      <c r="I79" s="52">
        <v>1.7929499105605431</v>
      </c>
      <c r="J79" s="52">
        <v>37.906229060451572</v>
      </c>
      <c r="K79" s="52">
        <v>53.492631303071597</v>
      </c>
      <c r="L79" s="79">
        <f t="shared" si="4"/>
        <v>195.48532874841604</v>
      </c>
      <c r="M79" s="52">
        <f t="shared" si="5"/>
        <v>0.80230896195481471</v>
      </c>
      <c r="N79" s="52" t="s">
        <v>129</v>
      </c>
    </row>
    <row r="80" spans="1:14" ht="15.5" customHeight="1" x14ac:dyDescent="0.2">
      <c r="A80" s="21">
        <v>45950</v>
      </c>
      <c r="B80" s="22">
        <v>79</v>
      </c>
      <c r="C80" s="23" t="s">
        <v>102</v>
      </c>
      <c r="D80" s="23" t="s">
        <v>8</v>
      </c>
      <c r="E80" s="24" t="s">
        <v>100</v>
      </c>
      <c r="F80" s="27">
        <v>31.1</v>
      </c>
      <c r="G80" s="28">
        <v>15689</v>
      </c>
      <c r="H80" s="82">
        <v>261394</v>
      </c>
      <c r="I80" s="52">
        <v>1.3374738820067871</v>
      </c>
      <c r="J80" s="52">
        <v>37.838922068463233</v>
      </c>
      <c r="K80" s="52">
        <v>53.251414194360002</v>
      </c>
      <c r="L80" s="79">
        <f t="shared" si="4"/>
        <v>209.8362773480448</v>
      </c>
      <c r="M80" s="52">
        <f t="shared" si="5"/>
        <v>0.67241060868096458</v>
      </c>
      <c r="N80" s="52" t="s">
        <v>129</v>
      </c>
    </row>
    <row r="81" spans="1:14" ht="15.5" customHeight="1" x14ac:dyDescent="0.2">
      <c r="A81" s="21">
        <v>45950</v>
      </c>
      <c r="B81" s="22">
        <v>80</v>
      </c>
      <c r="C81" s="23" t="s">
        <v>102</v>
      </c>
      <c r="D81" s="23" t="s">
        <v>9</v>
      </c>
      <c r="E81" s="24" t="s">
        <v>100</v>
      </c>
      <c r="F81" s="27">
        <v>29.6</v>
      </c>
      <c r="G81" s="28">
        <v>12304</v>
      </c>
      <c r="H81" s="82">
        <v>261395</v>
      </c>
      <c r="I81" s="52">
        <v>1.5195267432335291</v>
      </c>
      <c r="J81" s="52">
        <v>37.624151493080838</v>
      </c>
      <c r="K81" s="52">
        <v>53.584766747038472</v>
      </c>
      <c r="L81" s="79">
        <f t="shared" si="4"/>
        <v>186.96257048745343</v>
      </c>
      <c r="M81" s="52">
        <f t="shared" si="5"/>
        <v>0.70677622785246208</v>
      </c>
      <c r="N81" s="52" t="s">
        <v>129</v>
      </c>
    </row>
    <row r="82" spans="1:14" ht="15.5" customHeight="1" x14ac:dyDescent="0.2">
      <c r="A82" s="21">
        <v>45950</v>
      </c>
      <c r="B82" s="22">
        <v>81</v>
      </c>
      <c r="C82" s="23" t="s">
        <v>62</v>
      </c>
      <c r="D82" s="23" t="s">
        <v>5</v>
      </c>
      <c r="E82" s="24" t="s">
        <v>97</v>
      </c>
      <c r="F82" s="27">
        <v>30.7</v>
      </c>
      <c r="G82" s="28">
        <v>5476</v>
      </c>
      <c r="H82" s="82">
        <v>261396</v>
      </c>
      <c r="I82" s="52">
        <v>0.97161803828343118</v>
      </c>
      <c r="J82" s="52">
        <v>33.770005317570877</v>
      </c>
      <c r="K82" s="52">
        <v>62.195623409496747</v>
      </c>
      <c r="L82" s="79">
        <f t="shared" si="4"/>
        <v>53.205803776400693</v>
      </c>
      <c r="M82" s="52">
        <f t="shared" si="5"/>
        <v>0.34878888145460585</v>
      </c>
      <c r="N82" s="52" t="s">
        <v>129</v>
      </c>
    </row>
    <row r="83" spans="1:14" ht="15.5" customHeight="1" x14ac:dyDescent="0.2">
      <c r="A83" s="21">
        <v>45950</v>
      </c>
      <c r="B83" s="22">
        <v>82</v>
      </c>
      <c r="C83" s="23" t="s">
        <v>62</v>
      </c>
      <c r="D83" s="23" t="s">
        <v>4</v>
      </c>
      <c r="E83" s="24" t="s">
        <v>97</v>
      </c>
      <c r="F83" s="27">
        <v>24.6</v>
      </c>
      <c r="G83" s="28">
        <v>13473</v>
      </c>
      <c r="H83" s="82">
        <v>261397</v>
      </c>
      <c r="I83" s="52">
        <v>1.5858893909758101</v>
      </c>
      <c r="J83" s="52">
        <v>37.706862035851458</v>
      </c>
      <c r="K83" s="52">
        <v>66.142116724075606</v>
      </c>
      <c r="L83" s="79">
        <f t="shared" si="4"/>
        <v>213.66687764617089</v>
      </c>
      <c r="M83" s="52">
        <f t="shared" si="5"/>
        <v>0.75938188979116383</v>
      </c>
      <c r="N83" s="52" t="s">
        <v>129</v>
      </c>
    </row>
    <row r="84" spans="1:14" ht="15.5" customHeight="1" x14ac:dyDescent="0.2">
      <c r="A84" s="21">
        <v>45950</v>
      </c>
      <c r="B84" s="22">
        <v>83</v>
      </c>
      <c r="C84" s="23" t="s">
        <v>62</v>
      </c>
      <c r="D84" s="23" t="s">
        <v>9</v>
      </c>
      <c r="E84" s="24" t="s">
        <v>97</v>
      </c>
      <c r="F84" s="27">
        <v>24.7</v>
      </c>
      <c r="G84" s="28">
        <v>11052</v>
      </c>
      <c r="H84" s="82">
        <v>261398</v>
      </c>
      <c r="I84" s="52">
        <v>1.5178460972633201</v>
      </c>
      <c r="J84" s="52">
        <v>37.960140203932987</v>
      </c>
      <c r="K84" s="52">
        <v>53.757882377607707</v>
      </c>
      <c r="L84" s="79">
        <f t="shared" si="4"/>
        <v>167.75235066954212</v>
      </c>
      <c r="M84" s="52">
        <f t="shared" si="5"/>
        <v>0.68216209118218563</v>
      </c>
      <c r="N84" s="52" t="s">
        <v>129</v>
      </c>
    </row>
    <row r="85" spans="1:14" ht="15.5" customHeight="1" x14ac:dyDescent="0.2">
      <c r="A85" s="21">
        <v>45950</v>
      </c>
      <c r="B85" s="22">
        <v>84</v>
      </c>
      <c r="C85" s="23" t="s">
        <v>62</v>
      </c>
      <c r="D85" s="23" t="s">
        <v>8</v>
      </c>
      <c r="E85" s="24" t="s">
        <v>97</v>
      </c>
      <c r="F85" s="27">
        <v>26.6</v>
      </c>
      <c r="G85" s="28">
        <v>10771</v>
      </c>
      <c r="H85" s="82">
        <v>261399</v>
      </c>
      <c r="I85" s="52">
        <v>1.5364273567714859</v>
      </c>
      <c r="J85" s="52">
        <v>35.514910779315358</v>
      </c>
      <c r="K85" s="52">
        <v>44.619948631932061</v>
      </c>
      <c r="L85" s="79">
        <f t="shared" si="4"/>
        <v>165.48859059785676</v>
      </c>
      <c r="M85" s="52">
        <f t="shared" si="5"/>
        <v>0.68484568267654355</v>
      </c>
      <c r="N85" s="52" t="s">
        <v>129</v>
      </c>
    </row>
    <row r="86" spans="1:14" ht="15.5" customHeight="1" x14ac:dyDescent="0.2">
      <c r="A86" s="21">
        <v>45950</v>
      </c>
      <c r="B86" s="22">
        <v>85</v>
      </c>
      <c r="C86" s="23" t="s">
        <v>62</v>
      </c>
      <c r="D86" s="23" t="s">
        <v>7</v>
      </c>
      <c r="E86" s="24" t="s">
        <v>97</v>
      </c>
      <c r="F86" s="27">
        <v>23.6</v>
      </c>
      <c r="G86" s="28">
        <v>10406</v>
      </c>
      <c r="H86" s="82">
        <v>261400</v>
      </c>
      <c r="I86" s="52">
        <v>1.6450320945550601</v>
      </c>
      <c r="J86" s="52">
        <v>39.674224326292787</v>
      </c>
      <c r="K86" s="52">
        <v>48.420674074850623</v>
      </c>
      <c r="L86" s="79">
        <f t="shared" si="4"/>
        <v>171.18203975939954</v>
      </c>
      <c r="M86" s="52">
        <f t="shared" si="5"/>
        <v>0.72521029552008043</v>
      </c>
      <c r="N86" s="52" t="s">
        <v>129</v>
      </c>
    </row>
    <row r="87" spans="1:14" ht="15.5" customHeight="1" x14ac:dyDescent="0.2">
      <c r="A87" s="21">
        <v>45950</v>
      </c>
      <c r="B87" s="22">
        <v>86</v>
      </c>
      <c r="C87" s="23" t="s">
        <v>62</v>
      </c>
      <c r="D87" s="23" t="s">
        <v>6</v>
      </c>
      <c r="E87" s="24" t="s">
        <v>97</v>
      </c>
      <c r="F87" s="27">
        <v>23.4</v>
      </c>
      <c r="G87" s="28">
        <v>9271</v>
      </c>
      <c r="H87" s="82">
        <v>261401</v>
      </c>
      <c r="I87" s="52">
        <v>2.0488236588260871</v>
      </c>
      <c r="J87" s="52">
        <v>37.530482520029132</v>
      </c>
      <c r="K87" s="52">
        <v>46.863507705210182</v>
      </c>
      <c r="L87" s="79">
        <f t="shared" si="4"/>
        <v>189.94644140976652</v>
      </c>
      <c r="M87" s="52">
        <f t="shared" si="5"/>
        <v>0.8704500390052089</v>
      </c>
      <c r="N87" s="52" t="s">
        <v>129</v>
      </c>
    </row>
    <row r="88" spans="1:14" ht="15.5" customHeight="1" x14ac:dyDescent="0.2">
      <c r="A88" s="21">
        <v>45950</v>
      </c>
      <c r="B88" s="22">
        <v>87</v>
      </c>
      <c r="C88" s="23" t="s">
        <v>62</v>
      </c>
      <c r="D88" s="23" t="s">
        <v>8</v>
      </c>
      <c r="E88" s="24" t="s">
        <v>98</v>
      </c>
      <c r="F88" s="27">
        <v>26.8</v>
      </c>
      <c r="G88" s="28">
        <v>11042</v>
      </c>
      <c r="H88" s="82">
        <v>261402</v>
      </c>
      <c r="I88" s="52">
        <v>1.1218444789942661</v>
      </c>
      <c r="J88" s="52">
        <v>36.120895848506919</v>
      </c>
      <c r="K88" s="52">
        <v>45.382845161966671</v>
      </c>
      <c r="L88" s="79">
        <f t="shared" si="4"/>
        <v>123.87406737054687</v>
      </c>
      <c r="M88" s="52">
        <f t="shared" si="5"/>
        <v>0.50404196418406</v>
      </c>
      <c r="N88" s="52" t="s">
        <v>129</v>
      </c>
    </row>
    <row r="89" spans="1:14" ht="15.5" customHeight="1" x14ac:dyDescent="0.2">
      <c r="A89" s="21">
        <v>45950</v>
      </c>
      <c r="B89" s="22">
        <v>88</v>
      </c>
      <c r="C89" s="23" t="s">
        <v>62</v>
      </c>
      <c r="D89" s="23" t="s">
        <v>9</v>
      </c>
      <c r="E89" s="24" t="s">
        <v>98</v>
      </c>
      <c r="F89" s="27">
        <v>24.9</v>
      </c>
      <c r="G89" s="28">
        <v>11584</v>
      </c>
      <c r="H89" s="82">
        <v>261403</v>
      </c>
      <c r="I89" s="52">
        <v>1.5178460972633201</v>
      </c>
      <c r="J89" s="52">
        <v>38.488827385287699</v>
      </c>
      <c r="K89" s="52">
        <v>47.934971170982287</v>
      </c>
      <c r="L89" s="79">
        <f t="shared" si="4"/>
        <v>175.82729190698299</v>
      </c>
      <c r="M89" s="52">
        <f t="shared" si="5"/>
        <v>0.69250232614205398</v>
      </c>
      <c r="N89" s="52" t="s">
        <v>129</v>
      </c>
    </row>
    <row r="90" spans="1:14" ht="15.5" customHeight="1" x14ac:dyDescent="0.2">
      <c r="A90" s="21">
        <v>45950</v>
      </c>
      <c r="B90" s="22">
        <v>89</v>
      </c>
      <c r="C90" s="23" t="s">
        <v>62</v>
      </c>
      <c r="D90" s="23" t="s">
        <v>7</v>
      </c>
      <c r="E90" s="24" t="s">
        <v>98</v>
      </c>
      <c r="F90" s="27">
        <v>23.7</v>
      </c>
      <c r="G90" s="28">
        <v>10510</v>
      </c>
      <c r="H90" s="82">
        <v>261404</v>
      </c>
      <c r="I90" s="52">
        <v>1.8124354748650049</v>
      </c>
      <c r="J90" s="52">
        <v>38.00061179898033</v>
      </c>
      <c r="K90" s="52">
        <v>53.74632665897893</v>
      </c>
      <c r="L90" s="79">
        <f t="shared" si="4"/>
        <v>190.48696840831204</v>
      </c>
      <c r="M90" s="52">
        <f t="shared" si="5"/>
        <v>0.80155658406739883</v>
      </c>
      <c r="N90" s="52" t="s">
        <v>129</v>
      </c>
    </row>
    <row r="91" spans="1:14" ht="15.5" customHeight="1" x14ac:dyDescent="0.2">
      <c r="A91" s="21">
        <v>45950</v>
      </c>
      <c r="B91" s="22">
        <v>90</v>
      </c>
      <c r="C91" s="23" t="s">
        <v>62</v>
      </c>
      <c r="D91" s="23" t="s">
        <v>5</v>
      </c>
      <c r="E91" s="24" t="s">
        <v>98</v>
      </c>
      <c r="F91" s="27">
        <v>30.1</v>
      </c>
      <c r="G91" s="28">
        <v>5916</v>
      </c>
      <c r="H91" s="82">
        <v>261405</v>
      </c>
      <c r="I91" s="52">
        <v>1.032166108296972</v>
      </c>
      <c r="J91" s="52">
        <v>34.256193607017757</v>
      </c>
      <c r="K91" s="52">
        <v>62.657582930201912</v>
      </c>
      <c r="L91" s="79">
        <f t="shared" si="4"/>
        <v>61.062946966848855</v>
      </c>
      <c r="M91" s="52">
        <f t="shared" si="5"/>
        <v>0.37980210744040066</v>
      </c>
      <c r="N91" s="52" t="s">
        <v>129</v>
      </c>
    </row>
    <row r="92" spans="1:14" ht="15.5" customHeight="1" x14ac:dyDescent="0.2">
      <c r="A92" s="21">
        <v>45950</v>
      </c>
      <c r="B92" s="22">
        <v>91</v>
      </c>
      <c r="C92" s="23" t="s">
        <v>62</v>
      </c>
      <c r="D92" s="23" t="s">
        <v>4</v>
      </c>
      <c r="E92" s="24" t="s">
        <v>98</v>
      </c>
      <c r="F92" s="27">
        <v>20.9</v>
      </c>
      <c r="G92" s="28">
        <v>13197</v>
      </c>
      <c r="H92" s="82">
        <v>261406</v>
      </c>
      <c r="I92" s="52">
        <v>1.632440730895899</v>
      </c>
      <c r="J92" s="52">
        <v>38.407130371449377</v>
      </c>
      <c r="K92" s="52">
        <v>47.735649439144566</v>
      </c>
      <c r="L92" s="79">
        <f t="shared" si="4"/>
        <v>215.43320325633178</v>
      </c>
      <c r="M92" s="52">
        <f t="shared" si="5"/>
        <v>0.77651214780863975</v>
      </c>
      <c r="N92" s="52" t="s">
        <v>129</v>
      </c>
    </row>
    <row r="93" spans="1:14" ht="15.5" customHeight="1" x14ac:dyDescent="0.2">
      <c r="A93" s="21">
        <v>45950</v>
      </c>
      <c r="B93" s="22">
        <v>92</v>
      </c>
      <c r="C93" s="23" t="s">
        <v>62</v>
      </c>
      <c r="D93" s="23" t="s">
        <v>6</v>
      </c>
      <c r="E93" s="24" t="s">
        <v>98</v>
      </c>
      <c r="F93" s="27">
        <v>22.6</v>
      </c>
      <c r="G93" s="28">
        <v>9548</v>
      </c>
      <c r="H93" s="82">
        <v>261407</v>
      </c>
      <c r="I93" s="52">
        <v>2.324349452496782</v>
      </c>
      <c r="J93" s="52">
        <v>37.330364166059731</v>
      </c>
      <c r="K93" s="52">
        <v>46.310657301603939</v>
      </c>
      <c r="L93" s="79">
        <f t="shared" ref="L93:L124" si="6">+G93*(I93/100)</f>
        <v>221.92888572439273</v>
      </c>
      <c r="M93" s="52">
        <f t="shared" ref="M93:M124" si="7">+I93/(4.8*(G93/1000)^(-0.32))</f>
        <v>0.9968553780209809</v>
      </c>
      <c r="N93" s="52" t="s">
        <v>129</v>
      </c>
    </row>
    <row r="94" spans="1:14" ht="15.5" customHeight="1" x14ac:dyDescent="0.2">
      <c r="A94" s="21">
        <v>45950</v>
      </c>
      <c r="B94" s="22">
        <v>93</v>
      </c>
      <c r="C94" s="23" t="s">
        <v>62</v>
      </c>
      <c r="D94" s="23" t="s">
        <v>8</v>
      </c>
      <c r="E94" s="24" t="s">
        <v>99</v>
      </c>
      <c r="F94" s="27">
        <v>27.1</v>
      </c>
      <c r="G94" s="28">
        <v>14850</v>
      </c>
      <c r="H94" s="82">
        <v>261408</v>
      </c>
      <c r="I94" s="52">
        <v>1.36750895564806</v>
      </c>
      <c r="J94" s="52">
        <v>38.02761107064822</v>
      </c>
      <c r="K94" s="52">
        <v>47.412065205996441</v>
      </c>
      <c r="L94" s="79">
        <f t="shared" si="6"/>
        <v>203.07507991373689</v>
      </c>
      <c r="M94" s="52">
        <f t="shared" si="7"/>
        <v>0.67552497015698709</v>
      </c>
      <c r="N94" s="52" t="s">
        <v>129</v>
      </c>
    </row>
    <row r="95" spans="1:14" ht="15.5" customHeight="1" x14ac:dyDescent="0.2">
      <c r="A95" s="21">
        <v>45950</v>
      </c>
      <c r="B95" s="22">
        <v>94</v>
      </c>
      <c r="C95" s="23" t="s">
        <v>62</v>
      </c>
      <c r="D95" s="23" t="s">
        <v>7</v>
      </c>
      <c r="E95" s="24" t="s">
        <v>99</v>
      </c>
      <c r="F95" s="27">
        <v>25.2</v>
      </c>
      <c r="G95" s="28">
        <v>14497</v>
      </c>
      <c r="H95" s="82">
        <v>261409</v>
      </c>
      <c r="I95" s="52">
        <v>1.820277633448685</v>
      </c>
      <c r="J95" s="52">
        <v>36.761232702112167</v>
      </c>
      <c r="K95" s="52">
        <v>46.463613586329807</v>
      </c>
      <c r="L95" s="79">
        <f t="shared" si="6"/>
        <v>263.88564852105583</v>
      </c>
      <c r="M95" s="52">
        <f t="shared" si="7"/>
        <v>0.89228871384863029</v>
      </c>
      <c r="N95" s="52" t="s">
        <v>129</v>
      </c>
    </row>
    <row r="96" spans="1:14" ht="15.5" customHeight="1" x14ac:dyDescent="0.2">
      <c r="A96" s="21">
        <v>45950</v>
      </c>
      <c r="B96" s="22">
        <v>95</v>
      </c>
      <c r="C96" s="23" t="s">
        <v>62</v>
      </c>
      <c r="D96" s="23" t="s">
        <v>5</v>
      </c>
      <c r="E96" s="24" t="s">
        <v>99</v>
      </c>
      <c r="F96" s="27">
        <v>28.7</v>
      </c>
      <c r="G96" s="28">
        <v>5555</v>
      </c>
      <c r="H96" s="82">
        <v>261410</v>
      </c>
      <c r="I96" s="52">
        <v>1.1146108965678649</v>
      </c>
      <c r="J96" s="52">
        <v>34.352012017479971</v>
      </c>
      <c r="K96" s="52">
        <v>43.255179788237761</v>
      </c>
      <c r="L96" s="79">
        <f t="shared" si="6"/>
        <v>61.916635304344901</v>
      </c>
      <c r="M96" s="52">
        <f t="shared" si="7"/>
        <v>0.40195825051154477</v>
      </c>
      <c r="N96" s="52" t="s">
        <v>129</v>
      </c>
    </row>
    <row r="97" spans="1:14" ht="15.5" customHeight="1" x14ac:dyDescent="0.2">
      <c r="A97" s="21">
        <v>45950</v>
      </c>
      <c r="B97" s="22">
        <v>96</v>
      </c>
      <c r="C97" s="23" t="s">
        <v>62</v>
      </c>
      <c r="D97" s="23" t="s">
        <v>4</v>
      </c>
      <c r="E97" s="24" t="s">
        <v>99</v>
      </c>
      <c r="F97" s="27">
        <v>21.3</v>
      </c>
      <c r="G97" s="28">
        <v>11564</v>
      </c>
      <c r="H97" s="82">
        <v>261411</v>
      </c>
      <c r="I97" s="52">
        <v>1.556919939147734</v>
      </c>
      <c r="J97" s="52">
        <v>38.530415456454257</v>
      </c>
      <c r="K97" s="52">
        <v>67.6702790940207</v>
      </c>
      <c r="L97" s="79">
        <f t="shared" si="6"/>
        <v>180.04222176304395</v>
      </c>
      <c r="M97" s="52">
        <f t="shared" si="7"/>
        <v>0.70993670372895379</v>
      </c>
      <c r="N97" s="52" t="s">
        <v>129</v>
      </c>
    </row>
    <row r="98" spans="1:14" ht="15.5" customHeight="1" x14ac:dyDescent="0.2">
      <c r="A98" s="21">
        <v>45950</v>
      </c>
      <c r="B98" s="22">
        <v>97</v>
      </c>
      <c r="C98" s="23" t="s">
        <v>62</v>
      </c>
      <c r="D98" s="23" t="s">
        <v>6</v>
      </c>
      <c r="E98" s="24" t="s">
        <v>99</v>
      </c>
      <c r="F98" s="27">
        <v>21.9</v>
      </c>
      <c r="G98" s="28">
        <v>9359</v>
      </c>
      <c r="H98" s="82">
        <v>261412</v>
      </c>
      <c r="I98" s="52">
        <v>1.873928628985071</v>
      </c>
      <c r="J98" s="52">
        <v>37.517115804806991</v>
      </c>
      <c r="K98" s="52">
        <v>46.750394171296783</v>
      </c>
      <c r="L98" s="79">
        <f t="shared" si="6"/>
        <v>175.38098038671279</v>
      </c>
      <c r="M98" s="52">
        <f t="shared" si="7"/>
        <v>0.79855573305041783</v>
      </c>
      <c r="N98" s="52" t="s">
        <v>129</v>
      </c>
    </row>
    <row r="99" spans="1:14" ht="15.5" customHeight="1" x14ac:dyDescent="0.2">
      <c r="A99" s="21">
        <v>45950</v>
      </c>
      <c r="B99" s="22">
        <v>98</v>
      </c>
      <c r="C99" s="23" t="s">
        <v>62</v>
      </c>
      <c r="D99" s="23" t="s">
        <v>9</v>
      </c>
      <c r="E99" s="24" t="s">
        <v>99</v>
      </c>
      <c r="F99" s="27">
        <v>27.1</v>
      </c>
      <c r="G99" s="28">
        <v>12420</v>
      </c>
      <c r="H99" s="82">
        <v>261413</v>
      </c>
      <c r="I99" s="52">
        <v>1.2556306601802161</v>
      </c>
      <c r="J99" s="52">
        <v>37.051575018208297</v>
      </c>
      <c r="K99" s="52">
        <v>46.555613795995377</v>
      </c>
      <c r="L99" s="79">
        <f t="shared" si="6"/>
        <v>155.94932799438283</v>
      </c>
      <c r="M99" s="52">
        <f t="shared" si="7"/>
        <v>0.58578680535043892</v>
      </c>
      <c r="N99" s="52" t="s">
        <v>129</v>
      </c>
    </row>
    <row r="100" spans="1:14" ht="15.5" customHeight="1" x14ac:dyDescent="0.2">
      <c r="A100" s="21">
        <v>45950</v>
      </c>
      <c r="B100" s="22">
        <v>99</v>
      </c>
      <c r="C100" s="23" t="s">
        <v>62</v>
      </c>
      <c r="D100" s="23" t="s">
        <v>4</v>
      </c>
      <c r="E100" s="24" t="s">
        <v>100</v>
      </c>
      <c r="F100" s="27">
        <v>22.6</v>
      </c>
      <c r="G100" s="28">
        <v>15748</v>
      </c>
      <c r="H100" s="82">
        <v>261414</v>
      </c>
      <c r="I100" s="52">
        <v>1.501133791397095</v>
      </c>
      <c r="J100" s="52">
        <v>39.562818645302258</v>
      </c>
      <c r="K100" s="52">
        <v>48.803884054932382</v>
      </c>
      <c r="L100" s="79">
        <f t="shared" si="6"/>
        <v>236.39854946921454</v>
      </c>
      <c r="M100" s="52">
        <f t="shared" si="7"/>
        <v>0.75559711992091105</v>
      </c>
      <c r="N100" s="52" t="s">
        <v>129</v>
      </c>
    </row>
    <row r="101" spans="1:14" ht="15.5" customHeight="1" x14ac:dyDescent="0.2">
      <c r="A101" s="21">
        <v>45950</v>
      </c>
      <c r="B101" s="22">
        <v>100</v>
      </c>
      <c r="C101" s="23" t="s">
        <v>62</v>
      </c>
      <c r="D101" s="23" t="s">
        <v>5</v>
      </c>
      <c r="E101" s="24" t="s">
        <v>100</v>
      </c>
      <c r="F101" s="27">
        <v>29.5</v>
      </c>
      <c r="G101" s="28">
        <v>6677</v>
      </c>
      <c r="H101" s="82">
        <v>261415</v>
      </c>
      <c r="I101" s="52">
        <v>1.023506799806075</v>
      </c>
      <c r="J101" s="52">
        <v>34.742989840428251</v>
      </c>
      <c r="K101" s="52">
        <v>62.988818226368259</v>
      </c>
      <c r="L101" s="79">
        <f t="shared" si="6"/>
        <v>68.339549023051617</v>
      </c>
      <c r="M101" s="52">
        <f t="shared" si="7"/>
        <v>0.39148536857729654</v>
      </c>
      <c r="N101" s="52" t="s">
        <v>129</v>
      </c>
    </row>
    <row r="102" spans="1:14" ht="15.5" customHeight="1" x14ac:dyDescent="0.2">
      <c r="A102" s="21">
        <v>45950</v>
      </c>
      <c r="B102" s="22">
        <v>101</v>
      </c>
      <c r="C102" s="23" t="s">
        <v>62</v>
      </c>
      <c r="D102" s="23" t="s">
        <v>6</v>
      </c>
      <c r="E102" s="24" t="s">
        <v>100</v>
      </c>
      <c r="F102" s="27">
        <v>23.5</v>
      </c>
      <c r="G102" s="28">
        <v>12688</v>
      </c>
      <c r="H102" s="82">
        <v>261416</v>
      </c>
      <c r="I102" s="52">
        <v>1.9042739823127199</v>
      </c>
      <c r="J102" s="52">
        <v>37.919701383831033</v>
      </c>
      <c r="K102" s="52">
        <v>47.829970646818317</v>
      </c>
      <c r="L102" s="79">
        <f t="shared" si="6"/>
        <v>241.61428287583789</v>
      </c>
      <c r="M102" s="52">
        <f t="shared" si="7"/>
        <v>0.89448695396954436</v>
      </c>
      <c r="N102" s="52" t="s">
        <v>129</v>
      </c>
    </row>
    <row r="103" spans="1:14" ht="15.5" customHeight="1" x14ac:dyDescent="0.2">
      <c r="A103" s="21">
        <v>45950</v>
      </c>
      <c r="B103" s="22">
        <v>102</v>
      </c>
      <c r="C103" s="23" t="s">
        <v>62</v>
      </c>
      <c r="D103" s="23" t="s">
        <v>7</v>
      </c>
      <c r="E103" s="24" t="s">
        <v>100</v>
      </c>
      <c r="F103" s="27">
        <v>23.4</v>
      </c>
      <c r="G103" s="28">
        <v>10197</v>
      </c>
      <c r="H103" s="82">
        <v>261417</v>
      </c>
      <c r="I103" s="52">
        <v>1.8281471822391631</v>
      </c>
      <c r="J103" s="52">
        <v>39.285324107793159</v>
      </c>
      <c r="K103" s="52">
        <v>49.243627214592721</v>
      </c>
      <c r="L103" s="79">
        <f t="shared" si="6"/>
        <v>186.41616817292746</v>
      </c>
      <c r="M103" s="52">
        <f t="shared" si="7"/>
        <v>0.80072077061224201</v>
      </c>
      <c r="N103" s="52" t="s">
        <v>129</v>
      </c>
    </row>
    <row r="104" spans="1:14" ht="15.5" customHeight="1" x14ac:dyDescent="0.2">
      <c r="A104" s="21">
        <v>45950</v>
      </c>
      <c r="B104" s="35">
        <v>103</v>
      </c>
      <c r="C104" s="23" t="s">
        <v>62</v>
      </c>
      <c r="D104" s="23" t="s">
        <v>8</v>
      </c>
      <c r="E104" s="24" t="s">
        <v>100</v>
      </c>
      <c r="F104" s="27">
        <v>27.9</v>
      </c>
      <c r="G104" s="28">
        <v>9785</v>
      </c>
      <c r="H104" s="82">
        <v>261418</v>
      </c>
      <c r="I104" s="52">
        <v>1.2994519952521859</v>
      </c>
      <c r="J104" s="52">
        <v>36.906183539694098</v>
      </c>
      <c r="K104" s="52">
        <v>46.026401090261032</v>
      </c>
      <c r="L104" s="79">
        <f t="shared" si="6"/>
        <v>127.15137773542639</v>
      </c>
      <c r="M104" s="52">
        <f t="shared" si="7"/>
        <v>0.56169229761866701</v>
      </c>
      <c r="N104" s="52" t="s">
        <v>129</v>
      </c>
    </row>
    <row r="105" spans="1:14" ht="15.5" customHeight="1" x14ac:dyDescent="0.2">
      <c r="A105" s="36">
        <v>45950</v>
      </c>
      <c r="B105" s="37">
        <v>104</v>
      </c>
      <c r="C105" s="38" t="s">
        <v>62</v>
      </c>
      <c r="D105" s="23" t="s">
        <v>9</v>
      </c>
      <c r="E105" s="24" t="s">
        <v>100</v>
      </c>
      <c r="F105" s="27">
        <v>29.3</v>
      </c>
      <c r="G105" s="28">
        <v>14094</v>
      </c>
      <c r="H105" s="82">
        <v>261419</v>
      </c>
      <c r="I105" s="52">
        <v>1.3858586823143919</v>
      </c>
      <c r="J105" s="52">
        <v>36.133876547705761</v>
      </c>
      <c r="K105" s="52">
        <v>45.392834678687493</v>
      </c>
      <c r="L105" s="79">
        <f t="shared" si="6"/>
        <v>195.32292268539038</v>
      </c>
      <c r="M105" s="52">
        <f t="shared" si="7"/>
        <v>0.67323808365004434</v>
      </c>
      <c r="N105" s="52" t="s">
        <v>129</v>
      </c>
    </row>
    <row r="106" spans="1:14" ht="15.5" customHeight="1" x14ac:dyDescent="0.2">
      <c r="A106" s="36">
        <v>45973</v>
      </c>
      <c r="B106" s="35">
        <v>105</v>
      </c>
      <c r="C106" s="23" t="s">
        <v>102</v>
      </c>
      <c r="D106" s="23" t="s">
        <v>5</v>
      </c>
      <c r="E106" s="24" t="s">
        <v>97</v>
      </c>
      <c r="F106" s="77">
        <v>28.5</v>
      </c>
      <c r="G106" s="13">
        <v>10222.5</v>
      </c>
      <c r="H106" s="82">
        <v>261420</v>
      </c>
      <c r="I106" s="52">
        <v>0.84703339853218984</v>
      </c>
      <c r="J106" s="52">
        <v>33.831371085214862</v>
      </c>
      <c r="K106" s="52">
        <v>43.599668728378241</v>
      </c>
      <c r="L106" s="79">
        <f t="shared" si="6"/>
        <v>86.587989164953115</v>
      </c>
      <c r="M106" s="52">
        <f t="shared" si="7"/>
        <v>0.37129369604077428</v>
      </c>
      <c r="N106" s="52" t="s">
        <v>129</v>
      </c>
    </row>
    <row r="107" spans="1:14" ht="15.5" customHeight="1" x14ac:dyDescent="0.2">
      <c r="A107" s="36">
        <v>45973</v>
      </c>
      <c r="B107" s="37">
        <v>106</v>
      </c>
      <c r="C107" s="23" t="s">
        <v>102</v>
      </c>
      <c r="D107" s="23" t="s">
        <v>4</v>
      </c>
      <c r="E107" s="24" t="s">
        <v>97</v>
      </c>
      <c r="F107" s="77">
        <v>22.2</v>
      </c>
      <c r="G107" s="13">
        <v>13121.36842105263</v>
      </c>
      <c r="H107" s="82">
        <v>261421</v>
      </c>
      <c r="I107" s="52">
        <v>1.165268656067673</v>
      </c>
      <c r="J107" s="52">
        <v>37.744845229424627</v>
      </c>
      <c r="K107" s="52">
        <v>47.173288604675541</v>
      </c>
      <c r="L107" s="79">
        <f t="shared" si="6"/>
        <v>152.89919345768803</v>
      </c>
      <c r="M107" s="52">
        <f t="shared" si="7"/>
        <v>0.55327130813911785</v>
      </c>
      <c r="N107" s="52" t="s">
        <v>129</v>
      </c>
    </row>
    <row r="108" spans="1:14" ht="15.5" customHeight="1" x14ac:dyDescent="0.2">
      <c r="A108" s="36">
        <v>45973</v>
      </c>
      <c r="B108" s="35">
        <v>107</v>
      </c>
      <c r="C108" s="23" t="s">
        <v>102</v>
      </c>
      <c r="D108" s="23" t="s">
        <v>9</v>
      </c>
      <c r="E108" s="24" t="s">
        <v>97</v>
      </c>
      <c r="F108" s="77">
        <v>21.1</v>
      </c>
      <c r="G108" s="13">
        <v>13048.68421052632</v>
      </c>
      <c r="H108" s="82">
        <v>261422</v>
      </c>
      <c r="I108" s="52">
        <v>1.172923362923584</v>
      </c>
      <c r="J108" s="52">
        <v>38.830642753095411</v>
      </c>
      <c r="K108" s="52">
        <v>48.750497955760558</v>
      </c>
      <c r="L108" s="79">
        <f t="shared" si="6"/>
        <v>153.05106565938405</v>
      </c>
      <c r="M108" s="52">
        <f t="shared" si="7"/>
        <v>0.5559167378476787</v>
      </c>
      <c r="N108" s="52" t="s">
        <v>129</v>
      </c>
    </row>
    <row r="109" spans="1:14" ht="15.5" customHeight="1" x14ac:dyDescent="0.2">
      <c r="A109" s="36">
        <v>45973</v>
      </c>
      <c r="B109" s="37">
        <v>108</v>
      </c>
      <c r="C109" s="23" t="s">
        <v>102</v>
      </c>
      <c r="D109" s="23" t="s">
        <v>8</v>
      </c>
      <c r="E109" s="24" t="s">
        <v>97</v>
      </c>
      <c r="F109" s="77">
        <v>26.8</v>
      </c>
      <c r="G109" s="13">
        <v>14020.63157894737</v>
      </c>
      <c r="H109" s="82">
        <v>261423</v>
      </c>
      <c r="I109" s="52">
        <v>0.96079397067723216</v>
      </c>
      <c r="J109" s="52">
        <v>36.397006759938442</v>
      </c>
      <c r="K109" s="52">
        <v>66.261529197772418</v>
      </c>
      <c r="L109" s="79">
        <f t="shared" si="6"/>
        <v>134.70938286139435</v>
      </c>
      <c r="M109" s="52">
        <f t="shared" si="7"/>
        <v>0.4659664588428668</v>
      </c>
      <c r="N109" s="52" t="s">
        <v>129</v>
      </c>
    </row>
    <row r="110" spans="1:14" ht="15.5" customHeight="1" x14ac:dyDescent="0.2">
      <c r="A110" s="36">
        <v>45973</v>
      </c>
      <c r="B110" s="35">
        <v>109</v>
      </c>
      <c r="C110" s="23" t="s">
        <v>102</v>
      </c>
      <c r="D110" s="23" t="s">
        <v>7</v>
      </c>
      <c r="E110" s="24" t="s">
        <v>97</v>
      </c>
      <c r="F110" s="77">
        <v>24.5</v>
      </c>
      <c r="G110" s="13">
        <v>9090.78947368421</v>
      </c>
      <c r="H110" s="82">
        <v>261424</v>
      </c>
      <c r="I110" s="52">
        <v>1.273807058194159</v>
      </c>
      <c r="J110" s="52">
        <v>36.342063000728331</v>
      </c>
      <c r="K110" s="52">
        <v>46.127732466715592</v>
      </c>
      <c r="L110" s="79">
        <f t="shared" si="6"/>
        <v>115.79911796136111</v>
      </c>
      <c r="M110" s="52">
        <f t="shared" si="7"/>
        <v>0.53779272839817238</v>
      </c>
      <c r="N110" s="52" t="s">
        <v>129</v>
      </c>
    </row>
    <row r="111" spans="1:14" ht="15.5" customHeight="1" x14ac:dyDescent="0.2">
      <c r="A111" s="36">
        <v>45973</v>
      </c>
      <c r="B111" s="37">
        <v>110</v>
      </c>
      <c r="C111" s="23" t="s">
        <v>102</v>
      </c>
      <c r="D111" s="23" t="s">
        <v>6</v>
      </c>
      <c r="E111" s="24" t="s">
        <v>97</v>
      </c>
      <c r="F111" s="77">
        <v>25.8</v>
      </c>
      <c r="G111" s="13">
        <v>10028.05263157895</v>
      </c>
      <c r="H111" s="82">
        <v>261425</v>
      </c>
      <c r="I111" s="52">
        <v>1.31839505826103</v>
      </c>
      <c r="J111" s="52">
        <v>34.679265970271118</v>
      </c>
      <c r="K111" s="52">
        <v>63.933167914939872</v>
      </c>
      <c r="L111" s="79">
        <f t="shared" si="6"/>
        <v>132.20935033455206</v>
      </c>
      <c r="M111" s="52">
        <f t="shared" si="7"/>
        <v>0.57437250551638697</v>
      </c>
      <c r="N111" s="52" t="s">
        <v>129</v>
      </c>
    </row>
    <row r="112" spans="1:14" ht="15.5" customHeight="1" x14ac:dyDescent="0.2">
      <c r="A112" s="36">
        <v>45973</v>
      </c>
      <c r="B112" s="35">
        <v>111</v>
      </c>
      <c r="C112" s="31" t="s">
        <v>102</v>
      </c>
      <c r="D112" s="31" t="s">
        <v>8</v>
      </c>
      <c r="E112" s="32" t="s">
        <v>98</v>
      </c>
      <c r="F112" s="77">
        <v>22.4</v>
      </c>
      <c r="G112" s="13">
        <v>12573.47368421053</v>
      </c>
      <c r="H112" s="82">
        <v>261426</v>
      </c>
      <c r="I112" s="52">
        <v>1.1170152431582989</v>
      </c>
      <c r="J112" s="52">
        <v>37.078057174071382</v>
      </c>
      <c r="K112" s="52">
        <v>47.152577838347852</v>
      </c>
      <c r="L112" s="79">
        <f t="shared" si="6"/>
        <v>140.44761764712896</v>
      </c>
      <c r="M112" s="52">
        <f t="shared" si="7"/>
        <v>0.52317086566208171</v>
      </c>
      <c r="N112" s="52" t="s">
        <v>129</v>
      </c>
    </row>
    <row r="113" spans="1:14" ht="15.5" customHeight="1" x14ac:dyDescent="0.2">
      <c r="A113" s="36">
        <v>45973</v>
      </c>
      <c r="B113" s="37">
        <v>112</v>
      </c>
      <c r="C113" s="23" t="s">
        <v>102</v>
      </c>
      <c r="D113" s="23" t="s">
        <v>9</v>
      </c>
      <c r="E113" s="24" t="s">
        <v>98</v>
      </c>
      <c r="F113" s="77">
        <v>23.4</v>
      </c>
      <c r="G113" s="13">
        <v>15419.36842105263</v>
      </c>
      <c r="H113" s="82">
        <v>261427</v>
      </c>
      <c r="I113" s="52">
        <v>1.2350173897052681</v>
      </c>
      <c r="J113" s="52">
        <v>35.733168244719593</v>
      </c>
      <c r="K113" s="52">
        <v>45.864706992347202</v>
      </c>
      <c r="L113" s="79">
        <f t="shared" si="6"/>
        <v>190.43188138272259</v>
      </c>
      <c r="M113" s="52">
        <f t="shared" si="7"/>
        <v>0.61746613359665881</v>
      </c>
      <c r="N113" s="52" t="s">
        <v>129</v>
      </c>
    </row>
    <row r="114" spans="1:14" ht="15.5" customHeight="1" x14ac:dyDescent="0.2">
      <c r="A114" s="36">
        <v>45973</v>
      </c>
      <c r="B114" s="35">
        <v>113</v>
      </c>
      <c r="C114" s="23" t="s">
        <v>102</v>
      </c>
      <c r="D114" s="23" t="s">
        <v>7</v>
      </c>
      <c r="E114" s="24" t="s">
        <v>98</v>
      </c>
      <c r="F114" s="77">
        <v>22.6</v>
      </c>
      <c r="G114" s="13">
        <v>12751.15789473684</v>
      </c>
      <c r="H114" s="82">
        <v>261428</v>
      </c>
      <c r="I114" s="52">
        <v>1.4296333684404099</v>
      </c>
      <c r="J114" s="52">
        <v>36.394255280407869</v>
      </c>
      <c r="K114" s="52">
        <v>46.832633399727442</v>
      </c>
      <c r="L114" s="79">
        <f t="shared" si="6"/>
        <v>182.29480812568153</v>
      </c>
      <c r="M114" s="52">
        <f t="shared" si="7"/>
        <v>0.67260380284872512</v>
      </c>
      <c r="N114" s="52" t="s">
        <v>129</v>
      </c>
    </row>
    <row r="115" spans="1:14" ht="15.5" customHeight="1" x14ac:dyDescent="0.2">
      <c r="A115" s="36">
        <v>45973</v>
      </c>
      <c r="B115" s="37">
        <v>114</v>
      </c>
      <c r="C115" s="23" t="s">
        <v>102</v>
      </c>
      <c r="D115" s="23" t="s">
        <v>5</v>
      </c>
      <c r="E115" s="24" t="s">
        <v>98</v>
      </c>
      <c r="F115" s="77">
        <v>28.5</v>
      </c>
      <c r="G115" s="13">
        <v>5595</v>
      </c>
      <c r="H115" s="82">
        <v>261429</v>
      </c>
      <c r="I115" s="52">
        <v>1.019646677098484</v>
      </c>
      <c r="J115" s="52">
        <v>36.163242757710513</v>
      </c>
      <c r="K115" s="52">
        <v>66.614453712896577</v>
      </c>
      <c r="L115" s="79">
        <f t="shared" si="6"/>
        <v>57.04923158366018</v>
      </c>
      <c r="M115" s="52">
        <f t="shared" si="7"/>
        <v>0.36855686065288878</v>
      </c>
      <c r="N115" s="52" t="s">
        <v>129</v>
      </c>
    </row>
    <row r="116" spans="1:14" ht="15.5" customHeight="1" x14ac:dyDescent="0.2">
      <c r="A116" s="36">
        <v>45973</v>
      </c>
      <c r="B116" s="35">
        <v>115</v>
      </c>
      <c r="C116" s="23" t="s">
        <v>102</v>
      </c>
      <c r="D116" s="23" t="s">
        <v>4</v>
      </c>
      <c r="E116" s="24" t="s">
        <v>98</v>
      </c>
      <c r="F116" s="77">
        <v>26.9</v>
      </c>
      <c r="G116" s="13">
        <v>17003.63157894737</v>
      </c>
      <c r="H116" s="82">
        <v>261430</v>
      </c>
      <c r="I116" s="52">
        <v>1.000198489409365</v>
      </c>
      <c r="J116" s="52">
        <v>36.882471524644572</v>
      </c>
      <c r="K116" s="52">
        <v>65.115912651485246</v>
      </c>
      <c r="L116" s="79">
        <f t="shared" si="6"/>
        <v>170.07006619736535</v>
      </c>
      <c r="M116" s="52">
        <f t="shared" si="7"/>
        <v>0.51596268795992783</v>
      </c>
      <c r="N116" s="52" t="s">
        <v>129</v>
      </c>
    </row>
    <row r="117" spans="1:14" ht="15.5" customHeight="1" x14ac:dyDescent="0.2">
      <c r="A117" s="36">
        <v>45973</v>
      </c>
      <c r="B117" s="37">
        <v>116</v>
      </c>
      <c r="C117" s="23" t="s">
        <v>102</v>
      </c>
      <c r="D117" s="23" t="s">
        <v>6</v>
      </c>
      <c r="E117" s="24" t="s">
        <v>98</v>
      </c>
      <c r="F117" s="77">
        <v>23.9</v>
      </c>
      <c r="G117" s="13">
        <v>10622.92105263158</v>
      </c>
      <c r="H117" s="82">
        <v>261431</v>
      </c>
      <c r="I117" s="52">
        <v>1.3812481401608241</v>
      </c>
      <c r="J117" s="52">
        <v>37.370322286962853</v>
      </c>
      <c r="K117" s="52">
        <v>46.90470279903554</v>
      </c>
      <c r="L117" s="79">
        <f t="shared" si="6"/>
        <v>146.72889947022634</v>
      </c>
      <c r="M117" s="52">
        <f t="shared" si="7"/>
        <v>0.61295491828778437</v>
      </c>
      <c r="N117" s="52" t="s">
        <v>129</v>
      </c>
    </row>
    <row r="118" spans="1:14" ht="15.5" customHeight="1" x14ac:dyDescent="0.2">
      <c r="A118" s="36">
        <v>45973</v>
      </c>
      <c r="B118" s="35">
        <v>117</v>
      </c>
      <c r="C118" s="23" t="s">
        <v>102</v>
      </c>
      <c r="D118" s="23" t="s">
        <v>8</v>
      </c>
      <c r="E118" s="24" t="s">
        <v>99</v>
      </c>
      <c r="F118" s="77">
        <v>21.3</v>
      </c>
      <c r="G118" s="13">
        <v>13945.89473684211</v>
      </c>
      <c r="H118" s="82">
        <v>261432</v>
      </c>
      <c r="I118" s="52">
        <v>1.1476473377133589</v>
      </c>
      <c r="J118" s="52">
        <v>37.570604515659127</v>
      </c>
      <c r="K118" s="52">
        <v>47.788029143516091</v>
      </c>
      <c r="L118" s="79">
        <f t="shared" si="6"/>
        <v>160.04968966767592</v>
      </c>
      <c r="M118" s="52">
        <f t="shared" si="7"/>
        <v>0.55563559379403282</v>
      </c>
      <c r="N118" s="52" t="s">
        <v>129</v>
      </c>
    </row>
    <row r="119" spans="1:14" ht="15.5" customHeight="1" x14ac:dyDescent="0.2">
      <c r="A119" s="36">
        <v>45973</v>
      </c>
      <c r="B119" s="37">
        <v>118</v>
      </c>
      <c r="C119" s="23" t="s">
        <v>102</v>
      </c>
      <c r="D119" s="23" t="s">
        <v>7</v>
      </c>
      <c r="E119" s="24" t="s">
        <v>99</v>
      </c>
      <c r="F119" s="77">
        <v>24.5</v>
      </c>
      <c r="G119" s="13">
        <v>14700</v>
      </c>
      <c r="H119" s="82">
        <v>261433</v>
      </c>
      <c r="I119" s="52">
        <v>1.1639988631994249</v>
      </c>
      <c r="J119" s="52">
        <v>34.52698652585579</v>
      </c>
      <c r="K119" s="52">
        <v>43.927514414508863</v>
      </c>
      <c r="L119" s="79">
        <f t="shared" si="6"/>
        <v>171.10783289031545</v>
      </c>
      <c r="M119" s="52">
        <f t="shared" si="7"/>
        <v>0.57312963588051891</v>
      </c>
      <c r="N119" s="52" t="s">
        <v>129</v>
      </c>
    </row>
    <row r="120" spans="1:14" ht="15.5" customHeight="1" x14ac:dyDescent="0.2">
      <c r="A120" s="36">
        <v>45973</v>
      </c>
      <c r="B120" s="35">
        <v>119</v>
      </c>
      <c r="C120" s="23" t="s">
        <v>102</v>
      </c>
      <c r="D120" s="23" t="s">
        <v>5</v>
      </c>
      <c r="E120" s="24" t="s">
        <v>99</v>
      </c>
      <c r="F120" s="77">
        <v>30.2</v>
      </c>
      <c r="G120" s="13">
        <v>10395.15789473684</v>
      </c>
      <c r="H120" s="82">
        <v>261434</v>
      </c>
      <c r="I120" s="52">
        <v>0.80540114014410624</v>
      </c>
      <c r="J120" s="52">
        <v>33.268516023306631</v>
      </c>
      <c r="K120" s="52">
        <v>43.255179788237761</v>
      </c>
      <c r="L120" s="79">
        <f t="shared" si="6"/>
        <v>83.722720203990576</v>
      </c>
      <c r="M120" s="52">
        <f t="shared" si="7"/>
        <v>0.35494163998257461</v>
      </c>
      <c r="N120" s="52" t="s">
        <v>129</v>
      </c>
    </row>
    <row r="121" spans="1:14" ht="15.5" customHeight="1" x14ac:dyDescent="0.2">
      <c r="A121" s="36">
        <v>45973</v>
      </c>
      <c r="B121" s="37">
        <v>120</v>
      </c>
      <c r="C121" s="23" t="s">
        <v>102</v>
      </c>
      <c r="D121" s="23" t="s">
        <v>4</v>
      </c>
      <c r="E121" s="24" t="s">
        <v>99</v>
      </c>
      <c r="F121" s="77">
        <v>22.8</v>
      </c>
      <c r="G121" s="13">
        <v>15048</v>
      </c>
      <c r="H121" s="82">
        <v>261435</v>
      </c>
      <c r="I121" s="52">
        <v>1.045664610395038</v>
      </c>
      <c r="J121" s="52">
        <v>38.584306263656231</v>
      </c>
      <c r="K121" s="52">
        <v>48.537477723031763</v>
      </c>
      <c r="L121" s="79">
        <f t="shared" si="6"/>
        <v>157.35161057224531</v>
      </c>
      <c r="M121" s="52">
        <f t="shared" si="7"/>
        <v>0.51873360414443948</v>
      </c>
      <c r="N121" s="52" t="s">
        <v>129</v>
      </c>
    </row>
    <row r="122" spans="1:14" ht="15.5" customHeight="1" x14ac:dyDescent="0.2">
      <c r="A122" s="36">
        <v>45973</v>
      </c>
      <c r="B122" s="35">
        <v>121</v>
      </c>
      <c r="C122" s="23" t="s">
        <v>102</v>
      </c>
      <c r="D122" s="23" t="s">
        <v>6</v>
      </c>
      <c r="E122" s="24" t="s">
        <v>99</v>
      </c>
      <c r="F122" s="77">
        <v>25.6</v>
      </c>
      <c r="G122" s="13">
        <v>10469.05263157895</v>
      </c>
      <c r="H122" s="82">
        <v>261436</v>
      </c>
      <c r="I122" s="52">
        <v>1.0874530785562631</v>
      </c>
      <c r="J122" s="52">
        <v>35.656016023306627</v>
      </c>
      <c r="K122" s="52">
        <v>45.253172240276761</v>
      </c>
      <c r="L122" s="79">
        <f t="shared" si="6"/>
        <v>113.84603513778077</v>
      </c>
      <c r="M122" s="52">
        <f t="shared" si="7"/>
        <v>0.48032993372623306</v>
      </c>
      <c r="N122" s="52" t="s">
        <v>129</v>
      </c>
    </row>
    <row r="123" spans="1:14" ht="15.5" customHeight="1" x14ac:dyDescent="0.2">
      <c r="A123" s="36">
        <v>45973</v>
      </c>
      <c r="B123" s="37">
        <v>122</v>
      </c>
      <c r="C123" s="23" t="s">
        <v>102</v>
      </c>
      <c r="D123" s="23" t="s">
        <v>9</v>
      </c>
      <c r="E123" s="24" t="s">
        <v>99</v>
      </c>
      <c r="F123" s="77">
        <v>26.3</v>
      </c>
      <c r="G123" s="13">
        <v>10990.63157894737</v>
      </c>
      <c r="H123" s="82">
        <v>261437</v>
      </c>
      <c r="I123" s="52">
        <v>1.071365611782604</v>
      </c>
      <c r="J123" s="52">
        <v>34.552041150764751</v>
      </c>
      <c r="K123" s="52">
        <v>43.801875458643472</v>
      </c>
      <c r="L123" s="79">
        <f t="shared" si="6"/>
        <v>117.74984725456157</v>
      </c>
      <c r="M123" s="52">
        <f t="shared" si="7"/>
        <v>0.48064420785105982</v>
      </c>
      <c r="N123" s="52" t="s">
        <v>129</v>
      </c>
    </row>
    <row r="124" spans="1:14" ht="15.5" customHeight="1" x14ac:dyDescent="0.2">
      <c r="A124" s="36">
        <v>45973</v>
      </c>
      <c r="B124" s="35">
        <v>123</v>
      </c>
      <c r="C124" s="23" t="s">
        <v>102</v>
      </c>
      <c r="D124" s="23" t="s">
        <v>4</v>
      </c>
      <c r="E124" s="24" t="s">
        <v>100</v>
      </c>
      <c r="F124" s="77">
        <v>20.9</v>
      </c>
      <c r="G124" s="13">
        <v>13304.5</v>
      </c>
      <c r="H124" s="82">
        <v>261438</v>
      </c>
      <c r="I124" s="52">
        <v>1.365990939030711</v>
      </c>
      <c r="J124" s="52">
        <v>34.401931900946842</v>
      </c>
      <c r="K124" s="52">
        <v>44.915702903868343</v>
      </c>
      <c r="L124" s="79">
        <f t="shared" si="6"/>
        <v>181.73826448334097</v>
      </c>
      <c r="M124" s="52">
        <f t="shared" si="7"/>
        <v>0.65145754707237613</v>
      </c>
      <c r="N124" s="52" t="s">
        <v>129</v>
      </c>
    </row>
    <row r="125" spans="1:14" ht="15.5" customHeight="1" x14ac:dyDescent="0.2">
      <c r="A125" s="36">
        <v>45973</v>
      </c>
      <c r="B125" s="37">
        <v>124</v>
      </c>
      <c r="C125" s="23" t="s">
        <v>102</v>
      </c>
      <c r="D125" s="23" t="s">
        <v>5</v>
      </c>
      <c r="E125" s="24" t="s">
        <v>100</v>
      </c>
      <c r="F125" s="77">
        <v>27.3</v>
      </c>
      <c r="G125" s="13">
        <v>12378.39473684211</v>
      </c>
      <c r="H125" s="82">
        <v>261439</v>
      </c>
      <c r="I125" s="52">
        <v>0.86853675042212075</v>
      </c>
      <c r="J125" s="52">
        <v>37.981900646806608</v>
      </c>
      <c r="K125" s="52">
        <v>67.695524438950912</v>
      </c>
      <c r="L125" s="79">
        <f t="shared" ref="L125:L153" si="8">+G125*(I125/100)</f>
        <v>107.51090740179129</v>
      </c>
      <c r="M125" s="52">
        <f t="shared" ref="M125:M153" si="9">+I125/(4.8*(G125/1000)^(-0.32))</f>
        <v>0.40476182652126408</v>
      </c>
      <c r="N125" s="52" t="s">
        <v>129</v>
      </c>
    </row>
    <row r="126" spans="1:14" ht="15.5" customHeight="1" x14ac:dyDescent="0.2">
      <c r="A126" s="36">
        <v>45973</v>
      </c>
      <c r="B126" s="35">
        <v>125</v>
      </c>
      <c r="C126" s="23" t="s">
        <v>102</v>
      </c>
      <c r="D126" s="23" t="s">
        <v>6</v>
      </c>
      <c r="E126" s="24" t="s">
        <v>100</v>
      </c>
      <c r="F126" s="77">
        <v>26.2</v>
      </c>
      <c r="G126" s="13">
        <v>13541.26315789474</v>
      </c>
      <c r="H126" s="82">
        <v>261440</v>
      </c>
      <c r="I126" s="52">
        <v>1.107438942106759</v>
      </c>
      <c r="J126" s="52">
        <v>34.702674799708667</v>
      </c>
      <c r="K126" s="52">
        <v>44.925593877764967</v>
      </c>
      <c r="L126" s="79">
        <f t="shared" si="8"/>
        <v>149.9612214636818</v>
      </c>
      <c r="M126" s="52">
        <f t="shared" si="9"/>
        <v>0.53114058876851578</v>
      </c>
      <c r="N126" s="52" t="s">
        <v>129</v>
      </c>
    </row>
    <row r="127" spans="1:14" ht="15.5" customHeight="1" x14ac:dyDescent="0.2">
      <c r="A127" s="36">
        <v>45973</v>
      </c>
      <c r="B127" s="37">
        <v>126</v>
      </c>
      <c r="C127" s="23" t="s">
        <v>102</v>
      </c>
      <c r="D127" s="23" t="s">
        <v>7</v>
      </c>
      <c r="E127" s="24" t="s">
        <v>100</v>
      </c>
      <c r="F127" s="77">
        <v>21.8</v>
      </c>
      <c r="G127" s="13">
        <v>12288.315789473691</v>
      </c>
      <c r="H127" s="82">
        <v>261441</v>
      </c>
      <c r="I127" s="52">
        <v>1.509468545731147</v>
      </c>
      <c r="J127" s="52">
        <v>36.198834668608889</v>
      </c>
      <c r="K127" s="52">
        <v>45.965702903868333</v>
      </c>
      <c r="L127" s="79">
        <f t="shared" si="8"/>
        <v>185.48826164221944</v>
      </c>
      <c r="M127" s="52">
        <f t="shared" si="9"/>
        <v>0.7018113484459102</v>
      </c>
      <c r="N127" s="52" t="s">
        <v>129</v>
      </c>
    </row>
    <row r="128" spans="1:14" ht="15.5" customHeight="1" x14ac:dyDescent="0.2">
      <c r="A128" s="36">
        <v>45973</v>
      </c>
      <c r="B128" s="35">
        <v>127</v>
      </c>
      <c r="C128" s="23" t="s">
        <v>102</v>
      </c>
      <c r="D128" s="23" t="s">
        <v>8</v>
      </c>
      <c r="E128" s="24" t="s">
        <v>100</v>
      </c>
      <c r="F128" s="77">
        <v>24.5</v>
      </c>
      <c r="G128" s="13">
        <v>14732.236842105271</v>
      </c>
      <c r="H128" s="82">
        <v>261442</v>
      </c>
      <c r="I128" s="52">
        <v>1.167813377467944</v>
      </c>
      <c r="J128" s="52">
        <v>36.840242170429718</v>
      </c>
      <c r="K128" s="52">
        <v>46.770941398469439</v>
      </c>
      <c r="L128" s="79">
        <f t="shared" si="8"/>
        <v>172.04503264236635</v>
      </c>
      <c r="M128" s="52">
        <f t="shared" si="9"/>
        <v>0.57541103977535368</v>
      </c>
      <c r="N128" s="52" t="s">
        <v>129</v>
      </c>
    </row>
    <row r="129" spans="1:14" ht="15.5" customHeight="1" x14ac:dyDescent="0.2">
      <c r="A129" s="36">
        <v>45973</v>
      </c>
      <c r="B129" s="37">
        <v>128</v>
      </c>
      <c r="C129" s="23" t="s">
        <v>102</v>
      </c>
      <c r="D129" s="23" t="s">
        <v>9</v>
      </c>
      <c r="E129" s="24" t="s">
        <v>100</v>
      </c>
      <c r="F129" s="77">
        <v>29.1</v>
      </c>
      <c r="G129" s="13">
        <v>15530.21052631579</v>
      </c>
      <c r="H129" s="82">
        <v>261443</v>
      </c>
      <c r="I129" s="52">
        <v>1.244588983065015</v>
      </c>
      <c r="J129" s="52">
        <v>36.263883831026938</v>
      </c>
      <c r="K129" s="52">
        <v>46.30047698920221</v>
      </c>
      <c r="L129" s="79">
        <f t="shared" si="8"/>
        <v>193.2872892573296</v>
      </c>
      <c r="M129" s="52">
        <f t="shared" si="9"/>
        <v>0.62367949350399088</v>
      </c>
      <c r="N129" s="52" t="s">
        <v>129</v>
      </c>
    </row>
    <row r="130" spans="1:14" ht="15.5" customHeight="1" x14ac:dyDescent="0.2">
      <c r="A130" s="36">
        <v>45973</v>
      </c>
      <c r="B130" s="35">
        <v>129</v>
      </c>
      <c r="C130" s="23" t="s">
        <v>62</v>
      </c>
      <c r="D130" s="23" t="s">
        <v>5</v>
      </c>
      <c r="E130" s="24" t="s">
        <v>97</v>
      </c>
      <c r="F130" s="77">
        <v>30.1</v>
      </c>
      <c r="G130" s="13">
        <v>12032.07894736842</v>
      </c>
      <c r="H130" s="82">
        <v>261444</v>
      </c>
      <c r="I130" s="52">
        <v>0.88621209355200037</v>
      </c>
      <c r="J130" s="52">
        <v>34.215032774945371</v>
      </c>
      <c r="K130" s="52">
        <v>43.140953978404447</v>
      </c>
      <c r="L130" s="79">
        <f t="shared" si="8"/>
        <v>106.62973873730316</v>
      </c>
      <c r="M130" s="52">
        <f t="shared" si="9"/>
        <v>0.40926579579864997</v>
      </c>
      <c r="N130" s="52" t="s">
        <v>129</v>
      </c>
    </row>
    <row r="131" spans="1:14" ht="15.5" customHeight="1" x14ac:dyDescent="0.2">
      <c r="A131" s="36">
        <v>45973</v>
      </c>
      <c r="B131" s="37">
        <v>130</v>
      </c>
      <c r="C131" s="23" t="s">
        <v>62</v>
      </c>
      <c r="D131" s="23" t="s">
        <v>4</v>
      </c>
      <c r="E131" s="24" t="s">
        <v>97</v>
      </c>
      <c r="F131" s="77">
        <v>21.1</v>
      </c>
      <c r="G131" s="13">
        <v>14547.89473684211</v>
      </c>
      <c r="H131" s="82">
        <v>261445</v>
      </c>
      <c r="I131" s="52">
        <v>1.0135025160071549</v>
      </c>
      <c r="J131" s="52">
        <v>37.184131463947558</v>
      </c>
      <c r="K131" s="52">
        <v>46.668289128839497</v>
      </c>
      <c r="L131" s="79">
        <f t="shared" si="8"/>
        <v>147.44327918396726</v>
      </c>
      <c r="M131" s="52">
        <f t="shared" si="9"/>
        <v>0.49737006358199287</v>
      </c>
      <c r="N131" s="52" t="s">
        <v>129</v>
      </c>
    </row>
    <row r="132" spans="1:14" ht="15.5" customHeight="1" x14ac:dyDescent="0.2">
      <c r="A132" s="36">
        <v>45973</v>
      </c>
      <c r="B132" s="35">
        <v>131</v>
      </c>
      <c r="C132" s="23" t="s">
        <v>62</v>
      </c>
      <c r="D132" s="23" t="s">
        <v>9</v>
      </c>
      <c r="E132" s="24" t="s">
        <v>97</v>
      </c>
      <c r="F132" s="77">
        <v>17.899999999999999</v>
      </c>
      <c r="G132" s="13">
        <v>12200.26315789474</v>
      </c>
      <c r="H132" s="82">
        <v>261446</v>
      </c>
      <c r="I132" s="52">
        <v>1.254244458933079</v>
      </c>
      <c r="J132" s="52">
        <v>39.813809176984712</v>
      </c>
      <c r="K132" s="52">
        <v>49.806419960163552</v>
      </c>
      <c r="L132" s="79">
        <f t="shared" si="8"/>
        <v>153.02112463314867</v>
      </c>
      <c r="M132" s="52">
        <f t="shared" si="9"/>
        <v>0.5818072076919899</v>
      </c>
      <c r="N132" s="52" t="s">
        <v>129</v>
      </c>
    </row>
    <row r="133" spans="1:14" ht="15.5" customHeight="1" x14ac:dyDescent="0.2">
      <c r="A133" s="36">
        <v>45973</v>
      </c>
      <c r="B133" s="37">
        <v>132</v>
      </c>
      <c r="C133" s="23" t="s">
        <v>62</v>
      </c>
      <c r="D133" s="23" t="s">
        <v>8</v>
      </c>
      <c r="E133" s="24" t="s">
        <v>97</v>
      </c>
      <c r="F133" s="77">
        <v>21.9</v>
      </c>
      <c r="G133" s="13">
        <v>11583.94736842105</v>
      </c>
      <c r="H133" s="82">
        <v>261447</v>
      </c>
      <c r="I133" s="52">
        <v>0.97694172559640258</v>
      </c>
      <c r="J133" s="52">
        <v>37.973627093954853</v>
      </c>
      <c r="K133" s="52">
        <v>47.4641199287137</v>
      </c>
      <c r="L133" s="79">
        <f t="shared" si="8"/>
        <v>113.16841531323166</v>
      </c>
      <c r="M133" s="52">
        <f t="shared" si="9"/>
        <v>0.44571938820290635</v>
      </c>
      <c r="N133" s="52" t="s">
        <v>129</v>
      </c>
    </row>
    <row r="134" spans="1:14" ht="15.5" customHeight="1" x14ac:dyDescent="0.2">
      <c r="A134" s="36">
        <v>45973</v>
      </c>
      <c r="B134" s="35">
        <v>133</v>
      </c>
      <c r="C134" s="23" t="s">
        <v>62</v>
      </c>
      <c r="D134" s="23" t="s">
        <v>7</v>
      </c>
      <c r="E134" s="24" t="s">
        <v>97</v>
      </c>
      <c r="F134" s="77">
        <v>20.2</v>
      </c>
      <c r="G134" s="13">
        <v>13762.57894736842</v>
      </c>
      <c r="H134" s="82">
        <v>261448</v>
      </c>
      <c r="I134" s="52">
        <v>1.3897360031429189</v>
      </c>
      <c r="J134" s="52">
        <v>38.225248890785771</v>
      </c>
      <c r="K134" s="52">
        <v>68.041329052105297</v>
      </c>
      <c r="L134" s="79">
        <f t="shared" si="8"/>
        <v>191.26351459254667</v>
      </c>
      <c r="M134" s="52">
        <f t="shared" si="9"/>
        <v>0.67000032715664537</v>
      </c>
      <c r="N134" s="52" t="s">
        <v>129</v>
      </c>
    </row>
    <row r="135" spans="1:14" ht="15.5" customHeight="1" x14ac:dyDescent="0.2">
      <c r="A135" s="36">
        <v>45973</v>
      </c>
      <c r="B135" s="37">
        <v>134</v>
      </c>
      <c r="C135" s="23" t="s">
        <v>62</v>
      </c>
      <c r="D135" s="23" t="s">
        <v>6</v>
      </c>
      <c r="E135" s="24" t="s">
        <v>97</v>
      </c>
      <c r="F135" s="77">
        <v>20.3</v>
      </c>
      <c r="G135" s="13">
        <v>10043.15789473684</v>
      </c>
      <c r="H135" s="82">
        <v>261449</v>
      </c>
      <c r="I135" s="52">
        <v>1.431221572462678</v>
      </c>
      <c r="J135" s="52">
        <v>40.009839766933723</v>
      </c>
      <c r="K135" s="52">
        <v>50.111810462312611</v>
      </c>
      <c r="L135" s="79">
        <f t="shared" si="8"/>
        <v>143.73984234596219</v>
      </c>
      <c r="M135" s="52">
        <f t="shared" si="9"/>
        <v>0.62382694484520507</v>
      </c>
      <c r="N135" s="52" t="s">
        <v>129</v>
      </c>
    </row>
    <row r="136" spans="1:14" ht="15.5" customHeight="1" x14ac:dyDescent="0.2">
      <c r="A136" s="36">
        <v>45973</v>
      </c>
      <c r="B136" s="35">
        <v>135</v>
      </c>
      <c r="C136" s="23" t="s">
        <v>62</v>
      </c>
      <c r="D136" s="23" t="s">
        <v>8</v>
      </c>
      <c r="E136" s="24" t="s">
        <v>98</v>
      </c>
      <c r="F136" s="77">
        <v>24.5</v>
      </c>
      <c r="G136" s="13">
        <v>12133.94736842105</v>
      </c>
      <c r="H136" s="82">
        <v>261450</v>
      </c>
      <c r="I136" s="52">
        <v>0.9182988648711905</v>
      </c>
      <c r="J136" s="52">
        <v>36.734925345957762</v>
      </c>
      <c r="K136" s="52">
        <v>46.35139951776916</v>
      </c>
      <c r="L136" s="79">
        <f t="shared" si="8"/>
        <v>111.4259009482782</v>
      </c>
      <c r="M136" s="52">
        <f t="shared" si="9"/>
        <v>0.42522959646003849</v>
      </c>
      <c r="N136" s="52" t="s">
        <v>129</v>
      </c>
    </row>
    <row r="137" spans="1:14" ht="15.5" customHeight="1" x14ac:dyDescent="0.2">
      <c r="A137" s="36">
        <v>45973</v>
      </c>
      <c r="B137" s="37">
        <v>136</v>
      </c>
      <c r="C137" s="23" t="s">
        <v>62</v>
      </c>
      <c r="D137" s="23" t="s">
        <v>9</v>
      </c>
      <c r="E137" s="24" t="s">
        <v>98</v>
      </c>
      <c r="F137" s="77">
        <v>22.4</v>
      </c>
      <c r="G137" s="13">
        <v>13899.78947368421</v>
      </c>
      <c r="H137" s="82">
        <v>261451</v>
      </c>
      <c r="I137" s="52">
        <v>1.210789895849006</v>
      </c>
      <c r="J137" s="52">
        <v>38.21701383831028</v>
      </c>
      <c r="K137" s="52">
        <v>47.903448998846841</v>
      </c>
      <c r="L137" s="79">
        <f t="shared" si="8"/>
        <v>168.29724649165215</v>
      </c>
      <c r="M137" s="52">
        <f t="shared" si="9"/>
        <v>0.58558532135235475</v>
      </c>
      <c r="N137" s="52" t="s">
        <v>129</v>
      </c>
    </row>
    <row r="138" spans="1:14" ht="15.5" customHeight="1" x14ac:dyDescent="0.2">
      <c r="A138" s="36">
        <v>45973</v>
      </c>
      <c r="B138" s="35">
        <v>137</v>
      </c>
      <c r="C138" s="23" t="s">
        <v>62</v>
      </c>
      <c r="D138" s="23" t="s">
        <v>7</v>
      </c>
      <c r="E138" s="24" t="s">
        <v>98</v>
      </c>
      <c r="F138" s="77">
        <v>23.7</v>
      </c>
      <c r="G138" s="13">
        <v>13658.68421052632</v>
      </c>
      <c r="H138" s="82">
        <v>261452</v>
      </c>
      <c r="I138" s="52">
        <v>1.1793493622214419</v>
      </c>
      <c r="J138" s="52">
        <v>34.98019847050255</v>
      </c>
      <c r="K138" s="52">
        <v>44.492374462731938</v>
      </c>
      <c r="L138" s="79">
        <f t="shared" si="8"/>
        <v>161.08360512468295</v>
      </c>
      <c r="M138" s="52">
        <f t="shared" si="9"/>
        <v>0.56719458461900385</v>
      </c>
      <c r="N138" s="52" t="s">
        <v>129</v>
      </c>
    </row>
    <row r="139" spans="1:14" ht="15.5" customHeight="1" x14ac:dyDescent="0.2">
      <c r="A139" s="36">
        <v>45973</v>
      </c>
      <c r="B139" s="37">
        <v>138</v>
      </c>
      <c r="C139" s="23" t="s">
        <v>62</v>
      </c>
      <c r="D139" s="23" t="s">
        <v>5</v>
      </c>
      <c r="E139" s="24" t="s">
        <v>98</v>
      </c>
      <c r="F139" s="77">
        <v>24.3</v>
      </c>
      <c r="G139" s="13">
        <v>14957.28947368421</v>
      </c>
      <c r="H139" s="82">
        <v>261453</v>
      </c>
      <c r="I139" s="52">
        <v>0.87109569520370478</v>
      </c>
      <c r="J139" s="52">
        <v>36.433437727603788</v>
      </c>
      <c r="K139" s="52">
        <v>46.320839710661502</v>
      </c>
      <c r="L139" s="79">
        <f t="shared" si="8"/>
        <v>130.29230472442001</v>
      </c>
      <c r="M139" s="52">
        <f t="shared" si="9"/>
        <v>0.43129811273914487</v>
      </c>
      <c r="N139" s="52" t="s">
        <v>129</v>
      </c>
    </row>
    <row r="140" spans="1:14" ht="15.5" customHeight="1" x14ac:dyDescent="0.2">
      <c r="A140" s="36">
        <v>45973</v>
      </c>
      <c r="B140" s="35">
        <v>139</v>
      </c>
      <c r="C140" s="23" t="s">
        <v>62</v>
      </c>
      <c r="D140" s="23" t="s">
        <v>4</v>
      </c>
      <c r="E140" s="24" t="s">
        <v>98</v>
      </c>
      <c r="F140" s="77">
        <v>19</v>
      </c>
      <c r="G140" s="13">
        <v>11905</v>
      </c>
      <c r="H140" s="82">
        <v>261454</v>
      </c>
      <c r="I140" s="52">
        <v>1.213454449404016</v>
      </c>
      <c r="J140" s="52">
        <v>38.054624908958488</v>
      </c>
      <c r="K140" s="52">
        <v>48.441892231890137</v>
      </c>
      <c r="L140" s="79">
        <f t="shared" si="8"/>
        <v>144.46175220154811</v>
      </c>
      <c r="M140" s="52">
        <f t="shared" si="9"/>
        <v>0.55849031852863562</v>
      </c>
      <c r="N140" s="52" t="s">
        <v>129</v>
      </c>
    </row>
    <row r="141" spans="1:14" ht="15.5" customHeight="1" x14ac:dyDescent="0.2">
      <c r="A141" s="36">
        <v>45973</v>
      </c>
      <c r="B141" s="37">
        <v>140</v>
      </c>
      <c r="C141" s="23" t="s">
        <v>62</v>
      </c>
      <c r="D141" s="23" t="s">
        <v>6</v>
      </c>
      <c r="E141" s="24" t="s">
        <v>98</v>
      </c>
      <c r="F141" s="77">
        <v>20.2</v>
      </c>
      <c r="G141" s="13">
        <v>10865.47368421053</v>
      </c>
      <c r="H141" s="82">
        <v>261455</v>
      </c>
      <c r="I141" s="52">
        <v>1.0956226357055689</v>
      </c>
      <c r="J141" s="52">
        <v>37.838922068463233</v>
      </c>
      <c r="K141" s="52">
        <v>47.484956494391447</v>
      </c>
      <c r="L141" s="79">
        <f t="shared" si="8"/>
        <v>119.04458916084241</v>
      </c>
      <c r="M141" s="52">
        <f t="shared" si="9"/>
        <v>0.48972844667404131</v>
      </c>
      <c r="N141" s="52" t="s">
        <v>129</v>
      </c>
    </row>
    <row r="142" spans="1:14" ht="15.5" customHeight="1" x14ac:dyDescent="0.2">
      <c r="A142" s="36">
        <v>45973</v>
      </c>
      <c r="B142" s="35">
        <v>141</v>
      </c>
      <c r="C142" s="23" t="s">
        <v>62</v>
      </c>
      <c r="D142" s="23" t="s">
        <v>8</v>
      </c>
      <c r="E142" s="24" t="s">
        <v>99</v>
      </c>
      <c r="F142" s="77">
        <v>26.6</v>
      </c>
      <c r="G142" s="13">
        <v>14910</v>
      </c>
      <c r="H142" s="82">
        <v>261456</v>
      </c>
      <c r="I142" s="52">
        <v>1.008291957135931</v>
      </c>
      <c r="J142" s="52">
        <v>36.498814639475597</v>
      </c>
      <c r="K142" s="52">
        <v>45.703549638326862</v>
      </c>
      <c r="L142" s="79">
        <f t="shared" si="8"/>
        <v>150.33633080896732</v>
      </c>
      <c r="M142" s="52">
        <f t="shared" si="9"/>
        <v>0.49872129367397766</v>
      </c>
      <c r="N142" s="52" t="s">
        <v>129</v>
      </c>
    </row>
    <row r="143" spans="1:14" ht="15.5" customHeight="1" x14ac:dyDescent="0.2">
      <c r="A143" s="36">
        <v>45973</v>
      </c>
      <c r="B143" s="37">
        <v>142</v>
      </c>
      <c r="C143" s="23" t="s">
        <v>62</v>
      </c>
      <c r="D143" s="23" t="s">
        <v>7</v>
      </c>
      <c r="E143" s="24" t="s">
        <v>99</v>
      </c>
      <c r="F143" s="77">
        <v>22.4</v>
      </c>
      <c r="G143" s="13">
        <v>11606.73684210526</v>
      </c>
      <c r="H143" s="82">
        <v>261457</v>
      </c>
      <c r="I143" s="52">
        <v>1.2752172258722441</v>
      </c>
      <c r="J143" s="52">
        <v>36.827064821558629</v>
      </c>
      <c r="K143" s="52">
        <v>46.494261452982499</v>
      </c>
      <c r="L143" s="79">
        <f t="shared" si="8"/>
        <v>148.0111075721864</v>
      </c>
      <c r="M143" s="52">
        <f t="shared" si="9"/>
        <v>0.58217047648990805</v>
      </c>
      <c r="N143" s="52" t="s">
        <v>129</v>
      </c>
    </row>
    <row r="144" spans="1:14" ht="15.5" customHeight="1" x14ac:dyDescent="0.2">
      <c r="A144" s="36">
        <v>45973</v>
      </c>
      <c r="B144" s="35">
        <v>143</v>
      </c>
      <c r="C144" s="23" t="s">
        <v>62</v>
      </c>
      <c r="D144" s="23" t="s">
        <v>5</v>
      </c>
      <c r="E144" s="24" t="s">
        <v>99</v>
      </c>
      <c r="F144" s="77">
        <v>30</v>
      </c>
      <c r="G144" s="13">
        <v>11431.57894736842</v>
      </c>
      <c r="H144" s="82">
        <v>261458</v>
      </c>
      <c r="I144" s="52">
        <v>0.85362373907083267</v>
      </c>
      <c r="J144" s="52">
        <v>34.066103423160968</v>
      </c>
      <c r="K144" s="52">
        <v>43.503704790858578</v>
      </c>
      <c r="L144" s="79">
        <f t="shared" si="8"/>
        <v>97.582671645360449</v>
      </c>
      <c r="M144" s="52">
        <f t="shared" si="9"/>
        <v>0.3878102086812904</v>
      </c>
      <c r="N144" s="52" t="s">
        <v>129</v>
      </c>
    </row>
    <row r="145" spans="1:14" ht="15.5" customHeight="1" x14ac:dyDescent="0.2">
      <c r="A145" s="36">
        <v>45973</v>
      </c>
      <c r="B145" s="37">
        <v>144</v>
      </c>
      <c r="C145" s="23" t="s">
        <v>62</v>
      </c>
      <c r="D145" s="23" t="s">
        <v>4</v>
      </c>
      <c r="E145" s="24" t="s">
        <v>99</v>
      </c>
      <c r="F145" s="77">
        <v>20.3</v>
      </c>
      <c r="G145" s="13">
        <v>15150.21052631579</v>
      </c>
      <c r="H145" s="82">
        <v>261459</v>
      </c>
      <c r="I145" s="52">
        <v>1.2068059046759281</v>
      </c>
      <c r="J145" s="52">
        <v>36.524990895848511</v>
      </c>
      <c r="K145" s="52">
        <v>46.087174756263757</v>
      </c>
      <c r="L145" s="79">
        <f t="shared" si="8"/>
        <v>182.83363520241295</v>
      </c>
      <c r="M145" s="52">
        <f t="shared" si="9"/>
        <v>0.59997086706855463</v>
      </c>
      <c r="N145" s="52" t="s">
        <v>129</v>
      </c>
    </row>
    <row r="146" spans="1:14" ht="15.5" customHeight="1" x14ac:dyDescent="0.2">
      <c r="A146" s="36">
        <v>45973</v>
      </c>
      <c r="B146" s="35">
        <v>145</v>
      </c>
      <c r="C146" s="23" t="s">
        <v>62</v>
      </c>
      <c r="D146" s="23" t="s">
        <v>6</v>
      </c>
      <c r="E146" s="24" t="s">
        <v>99</v>
      </c>
      <c r="F146" s="77">
        <v>23.9</v>
      </c>
      <c r="G146" s="13">
        <v>11534.8947368421</v>
      </c>
      <c r="H146" s="82">
        <v>261460</v>
      </c>
      <c r="I146" s="52">
        <v>1.1209572930772189</v>
      </c>
      <c r="J146" s="52">
        <v>37.370370998104583</v>
      </c>
      <c r="K146" s="52">
        <v>64.942703603188775</v>
      </c>
      <c r="L146" s="79">
        <f t="shared" si="8"/>
        <v>129.3012438014118</v>
      </c>
      <c r="M146" s="52">
        <f t="shared" si="9"/>
        <v>0.51073096914647664</v>
      </c>
      <c r="N146" s="52" t="s">
        <v>129</v>
      </c>
    </row>
    <row r="147" spans="1:14" ht="15.5" customHeight="1" x14ac:dyDescent="0.2">
      <c r="A147" s="36">
        <v>45973</v>
      </c>
      <c r="B147" s="37">
        <v>146</v>
      </c>
      <c r="C147" s="23" t="s">
        <v>62</v>
      </c>
      <c r="D147" s="23" t="s">
        <v>9</v>
      </c>
      <c r="E147" s="24" t="s">
        <v>99</v>
      </c>
      <c r="F147" s="77">
        <v>26.3</v>
      </c>
      <c r="G147" s="13">
        <v>13918.23684210526</v>
      </c>
      <c r="H147" s="82">
        <v>261461</v>
      </c>
      <c r="I147" s="52">
        <v>1.092111125599746</v>
      </c>
      <c r="J147" s="52">
        <v>36.211837217771297</v>
      </c>
      <c r="K147" s="52">
        <v>45.884889401404763</v>
      </c>
      <c r="L147" s="79">
        <f t="shared" si="8"/>
        <v>152.0026130399543</v>
      </c>
      <c r="M147" s="52">
        <f t="shared" si="9"/>
        <v>0.52841184610645842</v>
      </c>
      <c r="N147" s="52" t="s">
        <v>129</v>
      </c>
    </row>
    <row r="148" spans="1:14" ht="15.5" customHeight="1" x14ac:dyDescent="0.2">
      <c r="A148" s="36">
        <v>45973</v>
      </c>
      <c r="B148" s="35">
        <v>147</v>
      </c>
      <c r="C148" s="23" t="s">
        <v>62</v>
      </c>
      <c r="D148" s="23" t="s">
        <v>4</v>
      </c>
      <c r="E148" s="24" t="s">
        <v>100</v>
      </c>
      <c r="F148" s="77">
        <v>22.1</v>
      </c>
      <c r="G148" s="13">
        <v>18313.92105263158</v>
      </c>
      <c r="H148" s="82">
        <v>261462</v>
      </c>
      <c r="I148" s="52">
        <v>0.98787769363224509</v>
      </c>
      <c r="J148" s="52">
        <v>38.393526948288432</v>
      </c>
      <c r="K148" s="52">
        <v>48.061248558549117</v>
      </c>
      <c r="L148" s="79">
        <f t="shared" si="8"/>
        <v>180.91914090836704</v>
      </c>
      <c r="M148" s="52">
        <f t="shared" si="9"/>
        <v>0.52185754855545785</v>
      </c>
      <c r="N148" s="52" t="s">
        <v>129</v>
      </c>
    </row>
    <row r="149" spans="1:14" ht="15.5" customHeight="1" x14ac:dyDescent="0.2">
      <c r="A149" s="36">
        <v>45973</v>
      </c>
      <c r="B149" s="37">
        <v>148</v>
      </c>
      <c r="C149" s="23" t="s">
        <v>62</v>
      </c>
      <c r="D149" s="23" t="s">
        <v>5</v>
      </c>
      <c r="E149" s="24" t="s">
        <v>100</v>
      </c>
      <c r="F149" s="77">
        <v>28.1</v>
      </c>
      <c r="G149" s="13">
        <v>7683.1315789473692</v>
      </c>
      <c r="H149" s="82">
        <v>261463</v>
      </c>
      <c r="I149" s="52">
        <v>0.88959738295133495</v>
      </c>
      <c r="J149" s="52">
        <v>36.765749155046237</v>
      </c>
      <c r="K149" s="52">
        <v>65.21562973682741</v>
      </c>
      <c r="L149" s="79">
        <f t="shared" si="8"/>
        <v>68.348937455023375</v>
      </c>
      <c r="M149" s="52">
        <f t="shared" si="9"/>
        <v>0.35589714647198345</v>
      </c>
      <c r="N149" s="52" t="s">
        <v>129</v>
      </c>
    </row>
    <row r="150" spans="1:14" ht="15.5" customHeight="1" x14ac:dyDescent="0.2">
      <c r="A150" s="36">
        <v>45973</v>
      </c>
      <c r="B150" s="35">
        <v>149</v>
      </c>
      <c r="C150" s="23" t="s">
        <v>62</v>
      </c>
      <c r="D150" s="23" t="s">
        <v>6</v>
      </c>
      <c r="E150" s="24" t="s">
        <v>100</v>
      </c>
      <c r="F150" s="77">
        <v>23.6</v>
      </c>
      <c r="G150" s="13">
        <v>13669.36842105263</v>
      </c>
      <c r="H150" s="82">
        <v>261464</v>
      </c>
      <c r="I150" s="52">
        <v>1.431221572462678</v>
      </c>
      <c r="J150" s="52">
        <v>36.159848871085217</v>
      </c>
      <c r="K150" s="52">
        <v>45.784061222350353</v>
      </c>
      <c r="L150" s="79">
        <f t="shared" si="8"/>
        <v>195.63894966150619</v>
      </c>
      <c r="M150" s="52">
        <f t="shared" si="9"/>
        <v>0.68850189495968961</v>
      </c>
      <c r="N150" s="52" t="s">
        <v>129</v>
      </c>
    </row>
    <row r="151" spans="1:14" ht="15.5" customHeight="1" x14ac:dyDescent="0.2">
      <c r="A151" s="36">
        <v>45973</v>
      </c>
      <c r="B151" s="37">
        <v>150</v>
      </c>
      <c r="C151" s="23" t="s">
        <v>62</v>
      </c>
      <c r="D151" s="23" t="s">
        <v>7</v>
      </c>
      <c r="E151" s="24" t="s">
        <v>100</v>
      </c>
      <c r="F151" s="77">
        <v>18.2</v>
      </c>
      <c r="G151" s="13">
        <v>12692.10526315789</v>
      </c>
      <c r="H151" s="82">
        <v>261465</v>
      </c>
      <c r="I151" s="52">
        <v>1.402895818914355</v>
      </c>
      <c r="J151" s="52">
        <v>39.757931536780781</v>
      </c>
      <c r="K151" s="52">
        <v>49.74119299716952</v>
      </c>
      <c r="L151" s="79">
        <f t="shared" si="8"/>
        <v>178.05701406905081</v>
      </c>
      <c r="M151" s="52">
        <f t="shared" si="9"/>
        <v>0.65904482837800649</v>
      </c>
      <c r="N151" s="52" t="s">
        <v>129</v>
      </c>
    </row>
    <row r="152" spans="1:14" ht="15.5" customHeight="1" x14ac:dyDescent="0.2">
      <c r="A152" s="36">
        <v>45973</v>
      </c>
      <c r="B152" s="35">
        <v>151</v>
      </c>
      <c r="C152" s="23" t="s">
        <v>62</v>
      </c>
      <c r="D152" s="23" t="s">
        <v>8</v>
      </c>
      <c r="E152" s="24" t="s">
        <v>100</v>
      </c>
      <c r="F152" s="77">
        <v>24.7</v>
      </c>
      <c r="G152" s="13">
        <v>13234</v>
      </c>
      <c r="H152" s="82">
        <v>261466</v>
      </c>
      <c r="I152" s="52">
        <v>1.07707261815203</v>
      </c>
      <c r="J152" s="52">
        <v>37.223969410050977</v>
      </c>
      <c r="K152" s="52">
        <v>46.853214173393447</v>
      </c>
      <c r="L152" s="79">
        <f t="shared" si="8"/>
        <v>142.53979028623965</v>
      </c>
      <c r="M152" s="52">
        <f t="shared" si="9"/>
        <v>0.51279633137874236</v>
      </c>
      <c r="N152" s="52" t="s">
        <v>129</v>
      </c>
    </row>
    <row r="153" spans="1:14" ht="15.5" customHeight="1" x14ac:dyDescent="0.2">
      <c r="A153" s="36">
        <v>45973</v>
      </c>
      <c r="B153" s="37">
        <v>152</v>
      </c>
      <c r="C153" s="38" t="s">
        <v>62</v>
      </c>
      <c r="D153" s="23" t="s">
        <v>9</v>
      </c>
      <c r="E153" s="24" t="s">
        <v>100</v>
      </c>
      <c r="F153" s="78">
        <v>25</v>
      </c>
      <c r="G153" s="13">
        <v>14822.36842105263</v>
      </c>
      <c r="H153" s="82">
        <v>261467</v>
      </c>
      <c r="I153" s="52">
        <v>1.0406265242322419</v>
      </c>
      <c r="J153" s="52">
        <v>34.084418833166097</v>
      </c>
      <c r="K153" s="52">
        <v>61.497999039107739</v>
      </c>
      <c r="L153" s="79">
        <f t="shared" si="8"/>
        <v>154.2454973088974</v>
      </c>
      <c r="M153" s="52">
        <f t="shared" si="9"/>
        <v>0.51374462026351642</v>
      </c>
      <c r="N153" s="52" t="s">
        <v>129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3"/>
  <sheetViews>
    <sheetView showGridLines="0" workbookViewId="0">
      <pane ySplit="14" topLeftCell="A15" activePane="bottomLeft" state="frozen"/>
      <selection pane="bottomLeft" sqref="A1:F1"/>
    </sheetView>
  </sheetViews>
  <sheetFormatPr baseColWidth="10" defaultColWidth="8.83203125" defaultRowHeight="15" x14ac:dyDescent="0.2"/>
  <cols>
    <col min="1" max="1" width="34" customWidth="1"/>
    <col min="2" max="2" width="23" customWidth="1"/>
    <col min="3" max="5" width="30" customWidth="1"/>
    <col min="6" max="6" width="39" customWidth="1"/>
  </cols>
  <sheetData>
    <row r="1" spans="1:6" ht="28" customHeight="1" x14ac:dyDescent="0.25">
      <c r="A1" s="102" t="s">
        <v>131</v>
      </c>
      <c r="B1" s="97"/>
      <c r="C1" s="97"/>
      <c r="D1" s="97"/>
      <c r="E1" s="97"/>
      <c r="F1" s="97"/>
    </row>
    <row r="2" spans="1:6" ht="20" customHeight="1" x14ac:dyDescent="0.2"/>
    <row r="3" spans="1:6" ht="20" customHeight="1" x14ac:dyDescent="0.2">
      <c r="A3" s="86" t="s">
        <v>132</v>
      </c>
      <c r="B3" s="86" t="s">
        <v>133</v>
      </c>
      <c r="C3" s="86" t="s">
        <v>134</v>
      </c>
      <c r="D3" s="86"/>
      <c r="E3" s="86"/>
      <c r="F3" s="86"/>
    </row>
    <row r="4" spans="1:6" ht="20" customHeight="1" x14ac:dyDescent="0.2">
      <c r="A4" t="s">
        <v>84</v>
      </c>
      <c r="B4" s="87">
        <f>Calidad!A28</f>
        <v>45916</v>
      </c>
      <c r="C4" t="s">
        <v>135</v>
      </c>
    </row>
    <row r="5" spans="1:6" ht="20" customHeight="1" x14ac:dyDescent="0.2">
      <c r="A5" t="s">
        <v>86</v>
      </c>
      <c r="B5" s="87" t="str">
        <f>Calidad!C28</f>
        <v>Secano</v>
      </c>
      <c r="C5" t="s">
        <v>136</v>
      </c>
    </row>
    <row r="6" spans="1:6" ht="20" customHeight="1" x14ac:dyDescent="0.2">
      <c r="A6" t="s">
        <v>12</v>
      </c>
      <c r="B6" s="87" t="str">
        <f>Calidad!D28</f>
        <v>M1</v>
      </c>
      <c r="C6" t="s">
        <v>12</v>
      </c>
    </row>
    <row r="7" spans="1:6" ht="20" customHeight="1" x14ac:dyDescent="0.2">
      <c r="A7" t="s">
        <v>87</v>
      </c>
      <c r="B7" s="87" t="str">
        <f>Calidad!E28</f>
        <v>R4</v>
      </c>
      <c r="C7" t="s">
        <v>137</v>
      </c>
    </row>
    <row r="8" spans="1:6" ht="20" customHeight="1" x14ac:dyDescent="0.2">
      <c r="A8" t="s">
        <v>138</v>
      </c>
      <c r="B8" s="87">
        <f>Calidad!G28</f>
        <v>7037</v>
      </c>
      <c r="C8" t="s">
        <v>139</v>
      </c>
    </row>
    <row r="9" spans="1:6" ht="20" customHeight="1" x14ac:dyDescent="0.2">
      <c r="A9" t="s">
        <v>140</v>
      </c>
      <c r="B9" s="88">
        <v>6</v>
      </c>
      <c r="C9" t="s">
        <v>141</v>
      </c>
    </row>
    <row r="10" spans="1:6" ht="20" customHeight="1" x14ac:dyDescent="0.2">
      <c r="A10" t="s">
        <v>142</v>
      </c>
      <c r="B10" s="88">
        <v>4</v>
      </c>
      <c r="C10" t="s">
        <v>143</v>
      </c>
    </row>
    <row r="11" spans="1:6" ht="20" customHeight="1" x14ac:dyDescent="0.2">
      <c r="A11" t="s">
        <v>144</v>
      </c>
      <c r="B11" s="88">
        <v>4.8</v>
      </c>
      <c r="C11" t="s">
        <v>145</v>
      </c>
    </row>
    <row r="12" spans="1:6" ht="20" customHeight="1" x14ac:dyDescent="0.2">
      <c r="A12" t="s">
        <v>146</v>
      </c>
      <c r="B12" s="88">
        <v>-0.32</v>
      </c>
      <c r="C12" t="s">
        <v>147</v>
      </c>
    </row>
    <row r="13" spans="1:6" ht="20" customHeight="1" x14ac:dyDescent="0.2"/>
    <row r="14" spans="1:6" ht="20" customHeight="1" x14ac:dyDescent="0.2"/>
    <row r="15" spans="1:6" ht="20" customHeight="1" x14ac:dyDescent="0.2">
      <c r="A15" s="86" t="s">
        <v>148</v>
      </c>
      <c r="B15" s="86" t="s">
        <v>149</v>
      </c>
      <c r="C15" s="86" t="s">
        <v>150</v>
      </c>
      <c r="D15" s="86" t="s">
        <v>151</v>
      </c>
      <c r="E15" s="86" t="s">
        <v>152</v>
      </c>
      <c r="F15" s="86" t="s">
        <v>153</v>
      </c>
    </row>
    <row r="16" spans="1:6" ht="20" customHeight="1" x14ac:dyDescent="0.2">
      <c r="A16" t="s">
        <v>154</v>
      </c>
      <c r="B16" t="s">
        <v>155</v>
      </c>
      <c r="C16" t="str">
        <f ca="1">SUMIFS(Calidad!$I:$I,Calidad!$A:$A,$B$4,Calidad!$C:$C,$B$5,Calidad!$E:$E,$B$7)-Calidad!$I$28</f>
        <v/>
      </c>
      <c r="D16" t="str">
        <f ca="1">SUMIFS(Calidad!$I:$I,Calidad!$A:$A,$B$4,Calidad!$C:$C,$B$5,Calidad!$D:$D,$B$6)-Calidad!$I$28</f>
        <v/>
      </c>
      <c r="E16" t="str">
        <f ca="1">SUMIFS(Calidad!$I:$I,Calidad!$A:$A,$B$4,Calidad!$C:$C,$B$5)-Calidad!$I$28</f>
        <v/>
      </c>
      <c r="F16" s="89" t="str">
        <f ca="1">($B$9*C16+$B$10*D16-E16)/(($B$9-1)*($B$10-1))</f>
        <v/>
      </c>
    </row>
    <row r="17" spans="1:6" ht="20" customHeight="1" x14ac:dyDescent="0.2">
      <c r="A17" t="s">
        <v>156</v>
      </c>
      <c r="B17" t="s">
        <v>157</v>
      </c>
      <c r="C17" t="str">
        <f ca="1">SUMIFS(Calidad!$J:$J,Calidad!$A:$A,$B$4,Calidad!$C:$C,$B$5,Calidad!$E:$E,$B$7)-Calidad!$J$28</f>
        <v/>
      </c>
      <c r="D17" t="str">
        <f ca="1">SUMIFS(Calidad!$J:$J,Calidad!$A:$A,$B$4,Calidad!$C:$C,$B$5,Calidad!$D:$D,$B$6)-Calidad!$J$28</f>
        <v/>
      </c>
      <c r="E17" t="str">
        <f ca="1">SUMIFS(Calidad!$J:$J,Calidad!$A:$A,$B$4,Calidad!$C:$C,$B$5)-Calidad!$J$28</f>
        <v/>
      </c>
      <c r="F17" s="89" t="str">
        <f ca="1">($B$9*C17+$B$10*D17-E17)/(($B$9-1)*($B$10-1))</f>
        <v/>
      </c>
    </row>
    <row r="18" spans="1:6" ht="20" customHeight="1" x14ac:dyDescent="0.2">
      <c r="A18" t="s">
        <v>158</v>
      </c>
      <c r="B18" t="s">
        <v>159</v>
      </c>
      <c r="C18" t="str">
        <f ca="1">SUMIFS(Calidad!$K:$K,Calidad!$A:$A,$B$4,Calidad!$C:$C,$B$5,Calidad!$E:$E,$B$7)-Calidad!$K$28</f>
        <v/>
      </c>
      <c r="D18" t="str">
        <f ca="1">SUMIFS(Calidad!$K:$K,Calidad!$A:$A,$B$4,Calidad!$C:$C,$B$5,Calidad!$D:$D,$B$6)-Calidad!$K$28</f>
        <v/>
      </c>
      <c r="E18" t="str">
        <f ca="1">SUMIFS(Calidad!$K:$K,Calidad!$A:$A,$B$4,Calidad!$C:$C,$B$5)-Calidad!$K$28</f>
        <v/>
      </c>
      <c r="F18" s="89" t="str">
        <f ca="1">($B$9*C18+$B$10*D18-E18)/(($B$9-1)*($B$10-1))</f>
        <v/>
      </c>
    </row>
    <row r="19" spans="1:6" ht="20" customHeight="1" x14ac:dyDescent="0.2"/>
    <row r="20" spans="1:6" ht="20" customHeight="1" x14ac:dyDescent="0.2"/>
    <row r="21" spans="1:6" ht="20" customHeight="1" x14ac:dyDescent="0.2">
      <c r="A21" s="86" t="s">
        <v>160</v>
      </c>
      <c r="B21" s="86" t="s">
        <v>161</v>
      </c>
      <c r="C21" s="86" t="s">
        <v>162</v>
      </c>
      <c r="D21" s="86"/>
      <c r="E21" s="86"/>
      <c r="F21" s="86"/>
    </row>
    <row r="22" spans="1:6" ht="20" customHeight="1" x14ac:dyDescent="0.2">
      <c r="A22" t="s">
        <v>163</v>
      </c>
      <c r="B22" t="s">
        <v>164</v>
      </c>
      <c r="C22" s="89" t="str">
        <f ca="1">$B$8*$F$16/100</f>
        <v/>
      </c>
    </row>
    <row r="23" spans="1:6" ht="20" customHeight="1" x14ac:dyDescent="0.2">
      <c r="A23" t="s">
        <v>165</v>
      </c>
      <c r="B23" t="s">
        <v>166</v>
      </c>
      <c r="C23" s="89">
        <f>$B$8/1000</f>
        <v>7.0369999999999999</v>
      </c>
    </row>
    <row r="24" spans="1:6" ht="20" customHeight="1" x14ac:dyDescent="0.2">
      <c r="A24" t="s">
        <v>167</v>
      </c>
      <c r="B24" t="s">
        <v>168</v>
      </c>
      <c r="C24" s="89">
        <f>$B$11*C23^$B$12</f>
        <v>2.5708528604174288</v>
      </c>
    </row>
    <row r="25" spans="1:6" ht="20" customHeight="1" x14ac:dyDescent="0.2">
      <c r="A25" t="s">
        <v>127</v>
      </c>
      <c r="B25" t="s">
        <v>169</v>
      </c>
      <c r="C25" s="89" t="str">
        <f ca="1">$F$16/C24</f>
        <v/>
      </c>
    </row>
    <row r="26" spans="1:6" ht="20" customHeight="1" x14ac:dyDescent="0.2"/>
    <row r="27" spans="1:6" ht="20" customHeight="1" x14ac:dyDescent="0.2"/>
    <row r="28" spans="1:6" ht="20" customHeight="1" x14ac:dyDescent="0.2">
      <c r="A28" s="86" t="s">
        <v>170</v>
      </c>
      <c r="B28" s="86" t="s">
        <v>133</v>
      </c>
      <c r="C28" s="86"/>
      <c r="D28" s="86"/>
      <c r="E28" s="86"/>
      <c r="F28" s="86"/>
    </row>
    <row r="29" spans="1:6" ht="20" customHeight="1" x14ac:dyDescent="0.2">
      <c r="A29" t="s">
        <v>171</v>
      </c>
      <c r="B29" t="str">
        <f ca="1">($B$9*(SUMIFS(Calidad!$L:$L,Calidad!$A:$A,$B$4,Calidad!$C:$C,$B$5,Calidad!$E:$E,$B$7)-Calidad!$L$28)+$B$10*(SUMIFS(Calidad!$L:$L,Calidad!$A:$A,$B$4,Calidad!$C:$C,$B$5,Calidad!$D:$D,$B$6)-Calidad!$L$28)-(SUMIFS(Calidad!$L:$L,Calidad!$A:$A,$B$4,Calidad!$C:$C,$B$5)-Calidad!$L$28))/(($B$9-1)*($B$10-1))</f>
        <v/>
      </c>
    </row>
    <row r="30" spans="1:6" ht="20" customHeight="1" x14ac:dyDescent="0.2">
      <c r="A30" t="s">
        <v>172</v>
      </c>
      <c r="B30" t="str">
        <f ca="1">($B$9*(SUMIFS(Calidad!$M:$M,Calidad!$A:$A,$B$4,Calidad!$C:$C,$B$5,Calidad!$E:$E,$B$7)-Calidad!$M$28)+$B$10*(SUMIFS(Calidad!$M:$M,Calidad!$A:$A,$B$4,Calidad!$C:$C,$B$5,Calidad!$D:$D,$B$6)-Calidad!$M$28)-(SUMIFS(Calidad!$M:$M,Calidad!$A:$A,$B$4,Calidad!$C:$C,$B$5)-Calidad!$M$28))/(($B$9-1)*($B$10-1))</f>
        <v/>
      </c>
    </row>
    <row r="31" spans="1:6" ht="20" customHeight="1" x14ac:dyDescent="0.2"/>
    <row r="32" spans="1:6" ht="36" customHeight="1" x14ac:dyDescent="0.2">
      <c r="A32" t="s">
        <v>173</v>
      </c>
      <c r="B32" s="101" t="s">
        <v>174</v>
      </c>
      <c r="C32" s="97"/>
      <c r="D32" s="97"/>
      <c r="E32" s="97"/>
      <c r="F32" s="97"/>
    </row>
    <row r="33" spans="2:6" ht="20" customHeight="1" x14ac:dyDescent="0.2">
      <c r="B33" s="97"/>
      <c r="C33" s="97"/>
      <c r="D33" s="97"/>
      <c r="E33" s="97"/>
      <c r="F33" s="97"/>
    </row>
  </sheetData>
  <mergeCells count="2">
    <mergeCell ref="B32:F33"/>
    <mergeCell ref="A1:F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9bf3608-0e89-4abc-8300-7732b518d174}" enabled="1" method="Standard" siteId="{e83e6ad5-f284-400f-8030-3fe5e3ad15c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Diseño</vt:lpstr>
      <vt:lpstr>Ensayo</vt:lpstr>
      <vt:lpstr>Manejo</vt:lpstr>
      <vt:lpstr>Datos_MS</vt:lpstr>
      <vt:lpstr>Datos_Rto</vt:lpstr>
      <vt:lpstr>Calidad</vt:lpstr>
      <vt:lpstr>Estimacion_M1R4_16set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Emanuel Choca</dc:creator>
  <cp:keywords/>
  <dc:description/>
  <cp:lastModifiedBy>Agustin Sellanes</cp:lastModifiedBy>
  <cp:revision/>
  <dcterms:created xsi:type="dcterms:W3CDTF">2026-07-21T18:33:51Z</dcterms:created>
  <dcterms:modified xsi:type="dcterms:W3CDTF">2026-08-09T20:20:49Z</dcterms:modified>
  <cp:category/>
  <cp:contentStatus/>
</cp:coreProperties>
</file>