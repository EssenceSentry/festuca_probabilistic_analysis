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Diccionario" sheetId="2" state="visible" r:id="rId2"/>
    <sheet name="Fórmulas" sheetId="3" state="visible" r:id="rId3"/>
    <sheet name="Diseño" sheetId="4" state="visible" r:id="rId4"/>
    <sheet name="Metadatos" sheetId="5" state="visible" r:id="rId5"/>
    <sheet name="Cronograma" sheetId="6" state="visible" r:id="rId6"/>
    <sheet name="Suelo" sheetId="7" state="visible" r:id="rId7"/>
    <sheet name="Manejo" sheetId="8" state="visible" r:id="rId8"/>
    <sheet name="Agua" sheetId="9" state="visible" r:id="rId9"/>
    <sheet name="MS registrada" sheetId="10" state="visible" r:id="rId10"/>
    <sheet name="MS calculada" sheetId="11" state="visible" r:id="rId11"/>
    <sheet name="Cosecha registrada" sheetId="12" state="visible" r:id="rId12"/>
    <sheet name="Cosecha calculada" sheetId="13" state="visible" r:id="rId13"/>
    <sheet name="Calidad registrada" sheetId="14" state="visible" r:id="rId14"/>
    <sheet name="Calidad calculada" sheetId="15" state="visible" r:id="rId15"/>
    <sheet name="Calidad faltante" sheetId="16" state="visible" r:id="rId16"/>
  </sheets>
  <definedNames/>
  <calcPr calcId="0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  <sz val="1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5B6573"/>
      </patternFill>
    </fill>
    <fill>
      <patternFill patternType="solid">
        <fgColor rgb="00E7E9EC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48235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3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1" fillId="4" borderId="0" applyAlignment="1" pivotButton="0" quotePrefix="0" xfId="0">
      <alignment vertical="center"/>
    </xf>
    <xf numFmtId="0" fontId="0" fillId="4" borderId="0" pivotButton="0" quotePrefix="0" xfId="0"/>
    <xf numFmtId="0" fontId="2" fillId="5" borderId="0" applyAlignment="1" pivotButton="0" quotePrefix="0" xfId="0">
      <alignment vertical="top" wrapText="1"/>
    </xf>
    <xf numFmtId="0" fontId="0" fillId="5" borderId="0" pivotButton="0" quotePrefix="0" xfId="0"/>
    <xf numFmtId="0" fontId="3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6" borderId="0" applyAlignment="1" pivotButton="0" quotePrefix="0" xfId="0">
      <alignment vertical="center"/>
    </xf>
    <xf numFmtId="0" fontId="0" fillId="6" borderId="0" pivotButton="0" quotePrefix="0" xfId="0"/>
    <xf numFmtId="0" fontId="2" fillId="7" borderId="0" applyAlignment="1" pivotButton="0" quotePrefix="0" xfId="0">
      <alignment vertical="top" wrapText="1"/>
    </xf>
    <xf numFmtId="0" fontId="0" fillId="7" borderId="0" pivotButton="0" quotePrefix="0" xfId="0"/>
    <xf numFmtId="0" fontId="3" fillId="6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tblIndice" displayName="tblIndice" ref="A4:F17" headerRowCount="1" totalsRowShown="0">
  <tableColumns count="6">
    <tableColumn id="1" name="Hoja"/>
    <tableColumn id="2" name="CSV de origen"/>
    <tableColumn id="3" name="Rol"/>
    <tableColumn id="4" name="Filas"/>
    <tableColumn id="5" name="Clave primaria"/>
    <tableColumn id="6" name="SHA-256 del conjunto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blDiccionario" displayName="tblDiccionario" ref="A4:H122" headerRowCount="1" totalsRowShown="0">
  <tableColumns count="8">
    <tableColumn id="1" name="Hoja"/>
    <tableColumn id="2" name="CSV de origen"/>
    <tableColumn id="3" name="Nombre técnico"/>
    <tableColumn id="4" name="Nombre español"/>
    <tableColumn id="5" name="Tipo"/>
    <tableColumn id="6" name="Unidad"/>
    <tableColumn id="7" name="Admite vacío"/>
    <tableColumn id="8" name="Relació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blFormulas" displayName="tblFormulas" ref="A4:I33" headerRowCount="1" totalsRowShown="0">
  <tableColumns count="9">
    <tableColumn id="1" name="Orden"/>
    <tableColumn id="2" name="Etapa"/>
    <tableColumn id="3" name="Identificador"/>
    <tableColumn id="4" name="CSV de salida"/>
    <tableColumn id="5" name="Columna de salida"/>
    <tableColumn id="6" name="Entradas"/>
    <tableColumn id="7" name="Expresión semántica"/>
    <tableColumn id="8" name="Unidad"/>
    <tableColumn id="9" name="Plantilla Excel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blDiseno" displayName="tblDiseno" ref="A4:C28" headerRowCount="1" totalsRowShown="0">
  <tableColumns count="3">
    <tableColumn id="1" name="Bloque"/>
    <tableColumn id="2" name="Posición de parcela"/>
    <tableColumn id="3" name="Tratamient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Metadatos" displayName="tblMetadatos" ref="A4:E28" headerRowCount="1" totalsRowShown="0">
  <tableColumns count="5">
    <tableColumn id="1" name="Parámetro"/>
    <tableColumn id="2" name="Valor"/>
    <tableColumn id="3" name="Tipo de valor"/>
    <tableColumn id="4" name="Unidad"/>
    <tableColumn id="5" name="Referencia históric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Cronograma" displayName="tblCronograma" ref="A4:I22" headerRowCount="1" totalsRowShown="0">
  <tableColumns count="9">
    <tableColumn id="1" name="Identificador del evento"/>
    <tableColumn id="2" name="Fecha"/>
    <tableColumn id="3" name="Tipo de evento"/>
    <tableColumn id="4" name="Alcance"/>
    <tableColumn id="5" name="Tratamiento"/>
    <tableColumn id="6" name="Número de aplicación"/>
    <tableColumn id="7" name="Estado fenológico"/>
    <tableColumn id="8" name="Descripción"/>
    <tableColumn id="9" name="Orden intradía conocid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Suelo" displayName="tblSuelo" ref="A4:C12" headerRowCount="1" totalsRowShown="0">
  <tableColumns count="3">
    <tableColumn id="1" name="Parámetro"/>
    <tableColumn id="2" name="Valor"/>
    <tableColumn id="3" name="Unida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Manejo" displayName="tblManejo" ref="A4:D15" headerRowCount="1" totalsRowShown="0">
  <tableColumns count="4">
    <tableColumn id="1" name="Año"/>
    <tableColumn id="2" name="Mes"/>
    <tableColumn id="3" name="Nombre del mes"/>
    <tableColumn id="4" name="Actividad de manej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Agua" displayName="tblAgua" ref="A4:E15" headerRowCount="1" totalsRowShown="0">
  <tableColumns count="5">
    <tableColumn id="1" name="Año"/>
    <tableColumn id="2" name="Mes"/>
    <tableColumn id="3" name="Nombre del mes"/>
    <tableColumn id="4" name="Riego suplementario (mm)"/>
    <tableColumn id="5" name="Precipitación (mm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MSRegistrada" displayName="tblMSRegistrada" ref="A4:L158" headerRowCount="1" totalsRowShown="0">
  <tableColumns count="12">
    <tableColumn id="1" name="Identificador de observación"/>
    <tableColumn id="2" name="Fecha"/>
    <tableColumn id="3" name="Muestra"/>
    <tableColumn id="4" name="Sector hídrico"/>
    <tableColumn id="5" name="Tratamiento"/>
    <tableColumn id="6" name="Bloque"/>
    <tableColumn id="7" name="Macollos en 30 cm (macollos/30 cm)"/>
    <tableColumn id="8" name="Peso verde en un metro (g)"/>
    <tableColumn id="9" name="Peso verde de la muestra (g)"/>
    <tableColumn id="10" name="Peso de bandeja (g)"/>
    <tableColumn id="11" name="Peso seco (g)"/>
    <tableColumn id="12" name="Materia seca registrada (%)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MSCalculada" displayName="tblMSCalculada" ref="A4:U158" headerRowCount="1" totalsRowShown="0">
  <tableColumns count="21">
    <tableColumn id="1" name="Identificador de observación"/>
    <tableColumn id="2" name="Fecha"/>
    <tableColumn id="3" name="Muestra"/>
    <tableColumn id="4" name="Sector hídrico"/>
    <tableColumn id="5" name="Tratamiento"/>
    <tableColumn id="6" name="Bloque"/>
    <tableColumn id="7" name="Macollos en 30 cm (macollos/30 cm)"/>
    <tableColumn id="8" name="Peso verde en un metro (g)"/>
    <tableColumn id="9" name="Peso verde de la muestra (g)"/>
    <tableColumn id="10" name="Peso de bandeja (g)"/>
    <tableColumn id="11" name="Peso seco (g)"/>
    <tableColumn id="12" name="Materia seca registrada (%)"/>
    <tableColumn id="13" name="Materia seca reconstruida (%)"/>
    <tableColumn id="14" name="Diferencia absoluta de materia seca (puntos porcentuales)"/>
    <tableColumn id="15" name="Diferencia relativa de materia seca (proporción)"/>
    <tableColumn id="16" name="Registro de materia seca a verificar"/>
    <tableColumn id="17" name="Biomasa informada en el libro histórico (kg MS/ha)"/>
    <tableColumn id="18" name="Biomasa recalculada con materia seca registrada (kg MS/ha)"/>
    <tableColumn id="19" name="Biomasa recalculada con materia seca reconstruida (kg MS/ha)"/>
    <tableColumn id="20" name="Diferencia entre biomasa recalculada e informada (kg MS/ha)"/>
    <tableColumn id="21" name="Densidad de macollos (macollos/m2)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id="12" name="tblCosechaRegistrada" displayName="tblCosechaRegistrada" ref="A4:L52" headerRowCount="1" totalsRowShown="0">
  <tableColumns count="12">
    <tableColumn id="1" name="Identificador de observación"/>
    <tableColumn id="2" name="Fecha"/>
    <tableColumn id="3" name="Muestra"/>
    <tableColumn id="4" name="Sector hídrico"/>
    <tableColumn id="5" name="Tratamiento"/>
    <tableColumn id="6" name="Bloque"/>
    <tableColumn id="7" name="Panojas en el área cosechada (panojas)"/>
    <tableColumn id="8" name="Peso de semilla sin limpiar (g)"/>
    <tableColumn id="9" name="Peso de semilla limpia (g)"/>
    <tableColumn id="10" name="Peso de 100 semillas - réplica 1 (g)"/>
    <tableColumn id="11" name="Peso de 100 semillas - réplica 2 (g)"/>
    <tableColumn id="12" name="Peso de 100 semillas - réplica 3 (g)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CosechaCalculada" displayName="tblCosechaCalculada" ref="A4:V52" headerRowCount="1" totalsRowShown="0">
  <tableColumns count="22">
    <tableColumn id="1" name="Identificador de observación"/>
    <tableColumn id="2" name="Fecha"/>
    <tableColumn id="3" name="Muestra"/>
    <tableColumn id="4" name="Sector hídrico"/>
    <tableColumn id="5" name="Tratamiento"/>
    <tableColumn id="6" name="Bloque"/>
    <tableColumn id="7" name="Panojas en el área cosechada (panojas)"/>
    <tableColumn id="8" name="Peso de semilla sin limpiar (g)"/>
    <tableColumn id="9" name="Peso de semilla limpia (g)"/>
    <tableColumn id="10" name="Peso de 100 semillas - réplica 1 (g)"/>
    <tableColumn id="11" name="Peso de 100 semillas - réplica 2 (g)"/>
    <tableColumn id="12" name="Peso de 100 semillas - réplica 3 (g)"/>
    <tableColumn id="13" name="Biomasa final enlazada (kg MS/ha)"/>
    <tableColumn id="14" name="Peso de mil semillas (g)"/>
    <tableColumn id="15" name="Densidad de panojas (panojas/m2)"/>
    <tableColumn id="16" name="Rendimiento sin limpiar (kg/ha)"/>
    <tableColumn id="17" name="Rendimiento limpio (kg/ha)"/>
    <tableColumn id="18" name="Recuperación de limpieza (proporción)"/>
    <tableColumn id="19" name="Merma de limpieza (%)"/>
    <tableColumn id="20" name="Número estimado de semillas (semillas)"/>
    <tableColumn id="21" name="Semillas estimadas por panoja (semillas/panoja)"/>
    <tableColumn id="22" name="Índice de cosecha (%)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id="14" name="tblCalidadRegistrada" displayName="tblCalidadRegistrada" ref="A4:K156" headerRowCount="1" totalsRowShown="0">
  <tableColumns count="11">
    <tableColumn id="1" name="Muestra"/>
    <tableColumn id="2" name="Fecha"/>
    <tableColumn id="3" name="Sector hídrico"/>
    <tableColumn id="4" name="Tratamiento"/>
    <tableColumn id="5" name="Bloque"/>
    <tableColumn id="6" name="Registro de laboratorio"/>
    <tableColumn id="7" name="Nitrógeno medido (%)"/>
    <tableColumn id="8" name="Fibra detergente ácido medida (%)"/>
    <tableColumn id="9" name="Fibra detergente neutro medida (%)"/>
    <tableColumn id="10" name="Estado de la medición"/>
    <tableColumn id="11" name="Origen del dat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CalidadCalculada" displayName="tblCalidadCalculada" ref="A4:T156" headerRowCount="1" totalsRowShown="0">
  <tableColumns count="20">
    <tableColumn id="1" name="Muestra"/>
    <tableColumn id="2" name="Fecha"/>
    <tableColumn id="3" name="Sector hídrico"/>
    <tableColumn id="4" name="Tratamiento"/>
    <tableColumn id="5" name="Bloque"/>
    <tableColumn id="6" name="Registro de laboratorio"/>
    <tableColumn id="7" name="Nitrógeno medido (%)"/>
    <tableColumn id="8" name="Fibra detergente ácido medida (%)"/>
    <tableColumn id="9" name="Fibra detergente neutro medida (%)"/>
    <tableColumn id="10" name="Estado de la medición"/>
    <tableColumn id="11" name="Origen del dato"/>
    <tableColumn id="12" name="Biomasa informada enlazada (kg MS/ha)"/>
    <tableColumn id="13" name="Nitrógeno efectivo (%)"/>
    <tableColumn id="14" name="Nitrógeno estimado (%)"/>
    <tableColumn id="15" name="Fibra detergente ácido estimada (%)"/>
    <tableColumn id="16" name="Fibra detergente neutro estimada (%)"/>
    <tableColumn id="17" name="Nitrógeno acumulado (kg N/ha)"/>
    <tableColumn id="18" name="Concentración crítica de nitrógeno (%)"/>
    <tableColumn id="19" name="Índice de nutrición nitrogenada (proporción)"/>
    <tableColumn id="20" name="Procedencia del cálculo"/>
  </tableColumns>
  <tableStyleInfo name="TableStyleMedium4" showFirstColumn="0" showLastColumn="0" showRowStripes="1" showColumnStripes="0"/>
</table>
</file>

<file path=xl/tables/table16.xml><?xml version="1.0" encoding="utf-8"?>
<table xmlns="http://schemas.openxmlformats.org/spreadsheetml/2006/main" id="16" name="tblCalidadFaltante" displayName="tblCalidadFaltante" ref="A4:W5" headerRowCount="1" totalsRowShown="0">
  <tableColumns count="23">
    <tableColumn id="1" name="Muestra"/>
    <tableColumn id="2" name="Fecha"/>
    <tableColumn id="3" name="Sector hídrico"/>
    <tableColumn id="4" name="Tratamiento"/>
    <tableColumn id="5" name="Bloque"/>
    <tableColumn id="6" name="Biomasa (kg MS/ha)"/>
    <tableColumn id="7" name="Número de tratamientos"/>
    <tableColumn id="8" name="Número de bloques"/>
    <tableColumn id="9" name="Total de N del bloque (%)"/>
    <tableColumn id="10" name="Total de N del tratamiento (%)"/>
    <tableColumn id="11" name="Total general de N (%)"/>
    <tableColumn id="12" name="Nitrógeno estimado (%)"/>
    <tableColumn id="13" name="Total de FDA del bloque (%)"/>
    <tableColumn id="14" name="Total de FDA del tratamiento (%)"/>
    <tableColumn id="15" name="Total general de FDA (%)"/>
    <tableColumn id="16" name="FDA estimada (%)"/>
    <tableColumn id="17" name="Total de FDN del bloque (%)"/>
    <tableColumn id="18" name="Total de FDN del tratamiento (%)"/>
    <tableColumn id="19" name="Total general de FDN (%)"/>
    <tableColumn id="20" name="FDN estimada (%)"/>
    <tableColumn id="21" name="Nitrógeno acumulado estimado (kg N/ha)"/>
    <tableColumn id="22" name="Concentración crítica de nitrógeno (%)"/>
    <tableColumn id="23" name="Índice de nutrición nitrogenada (proporción)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1" customWidth="1" min="4" max="4"/>
    <col width="23" customWidth="1" min="5" max="5"/>
    <col width="42" customWidth="1" min="6" max="6"/>
  </cols>
  <sheetData>
    <row r="1" ht="25" customHeight="1">
      <c r="A1" s="1" t="inlineStr">
        <is>
          <t>Índice</t>
        </is>
      </c>
      <c r="B1" s="2" t="n"/>
      <c r="C1" s="2" t="n"/>
      <c r="D1" s="2" t="n"/>
      <c r="E1" s="2" t="n"/>
      <c r="F1" s="2" t="n"/>
    </row>
    <row r="2" ht="31" customHeight="1">
      <c r="A2" s="3" t="inlineStr">
        <is>
          <t>Documentación generada desde manifest.json y formulas.json; SHA-256 del conjunto: 3c8bd7648466910434220d48b656dc6d310b33d19f026fa6bf57cdfc89fbd4dd</t>
        </is>
      </c>
      <c r="B2" s="4" t="n"/>
      <c r="C2" s="4" t="n"/>
      <c r="D2" s="4" t="n"/>
      <c r="E2" s="4" t="n"/>
      <c r="F2" s="4" t="n"/>
    </row>
    <row r="4" ht="38" customHeight="1">
      <c r="A4" s="5" t="inlineStr">
        <is>
          <t>Hoja</t>
        </is>
      </c>
      <c r="B4" s="5" t="inlineStr">
        <is>
          <t>CSV de origen</t>
        </is>
      </c>
      <c r="C4" s="5" t="inlineStr">
        <is>
          <t>Rol</t>
        </is>
      </c>
      <c r="D4" s="5" t="inlineStr">
        <is>
          <t>Filas</t>
        </is>
      </c>
      <c r="E4" s="5" t="inlineStr">
        <is>
          <t>Clave primaria</t>
        </is>
      </c>
      <c r="F4" s="5" t="inlineStr">
        <is>
          <t>SHA-256 del conjunto</t>
        </is>
      </c>
    </row>
    <row r="5">
      <c r="A5" s="6" t="inlineStr">
        <is>
          <t>Diseño</t>
        </is>
      </c>
      <c r="B5" s="6" t="inlineStr">
        <is>
          <t>experimental_design.csv</t>
        </is>
      </c>
      <c r="C5" s="6" t="inlineStr">
        <is>
          <t>registrado</t>
        </is>
      </c>
      <c r="D5" s="6" t="n">
        <v>24</v>
      </c>
      <c r="E5" s="6" t="inlineStr">
        <is>
          <t>block + plot_position</t>
        </is>
      </c>
      <c r="F5" s="6" t="inlineStr">
        <is>
          <t>3c8bd7648466910434220d48b656dc6d310b33d19f026fa6bf57cdfc89fbd4dd</t>
        </is>
      </c>
    </row>
    <row r="6">
      <c r="A6" s="6" t="inlineStr">
        <is>
          <t>Metadatos</t>
        </is>
      </c>
      <c r="B6" s="6" t="inlineStr">
        <is>
          <t>experiment_metadata.csv</t>
        </is>
      </c>
      <c r="C6" s="6" t="inlineStr">
        <is>
          <t>registrado</t>
        </is>
      </c>
      <c r="D6" s="6" t="n">
        <v>24</v>
      </c>
      <c r="E6" s="6" t="inlineStr">
        <is>
          <t>parameter</t>
        </is>
      </c>
      <c r="F6" s="6" t="inlineStr">
        <is>
          <t>3c8bd7648466910434220d48b656dc6d310b33d19f026fa6bf57cdfc89fbd4dd</t>
        </is>
      </c>
    </row>
    <row r="7">
      <c r="A7" s="6" t="inlineStr">
        <is>
          <t>Cronograma</t>
        </is>
      </c>
      <c r="B7" s="6" t="inlineStr">
        <is>
          <t>field_timeline.csv</t>
        </is>
      </c>
      <c r="C7" s="6" t="inlineStr">
        <is>
          <t>registrado</t>
        </is>
      </c>
      <c r="D7" s="6" t="n">
        <v>18</v>
      </c>
      <c r="E7" s="6" t="inlineStr">
        <is>
          <t>event_id</t>
        </is>
      </c>
      <c r="F7" s="6" t="inlineStr">
        <is>
          <t>3c8bd7648466910434220d48b656dc6d310b33d19f026fa6bf57cdfc89fbd4dd</t>
        </is>
      </c>
    </row>
    <row r="8">
      <c r="A8" s="6" t="inlineStr">
        <is>
          <t>Suelo</t>
        </is>
      </c>
      <c r="B8" s="6" t="inlineStr">
        <is>
          <t>soil_analysis.csv</t>
        </is>
      </c>
      <c r="C8" s="6" t="inlineStr">
        <is>
          <t>registrado</t>
        </is>
      </c>
      <c r="D8" s="6" t="n">
        <v>8</v>
      </c>
      <c r="E8" s="6" t="inlineStr">
        <is>
          <t>parameter</t>
        </is>
      </c>
      <c r="F8" s="6" t="inlineStr">
        <is>
          <t>3c8bd7648466910434220d48b656dc6d310b33d19f026fa6bf57cdfc89fbd4dd</t>
        </is>
      </c>
    </row>
    <row r="9">
      <c r="A9" s="6" t="inlineStr">
        <is>
          <t>Manejo</t>
        </is>
      </c>
      <c r="B9" s="6" t="inlineStr">
        <is>
          <t>field_management.csv</t>
        </is>
      </c>
      <c r="C9" s="6" t="inlineStr">
        <is>
          <t>registrado</t>
        </is>
      </c>
      <c r="D9" s="6" t="n">
        <v>11</v>
      </c>
      <c r="E9" s="6" t="inlineStr">
        <is>
          <t>year + month</t>
        </is>
      </c>
      <c r="F9" s="6" t="inlineStr">
        <is>
          <t>3c8bd7648466910434220d48b656dc6d310b33d19f026fa6bf57cdfc89fbd4dd</t>
        </is>
      </c>
    </row>
    <row r="10">
      <c r="A10" s="6" t="inlineStr">
        <is>
          <t>Agua</t>
        </is>
      </c>
      <c r="B10" s="6" t="inlineStr">
        <is>
          <t>water_inputs.csv</t>
        </is>
      </c>
      <c r="C10" s="6" t="inlineStr">
        <is>
          <t>registrado</t>
        </is>
      </c>
      <c r="D10" s="6" t="n">
        <v>11</v>
      </c>
      <c r="E10" s="6" t="inlineStr">
        <is>
          <t>year + month</t>
        </is>
      </c>
      <c r="F10" s="6" t="inlineStr">
        <is>
          <t>3c8bd7648466910434220d48b656dc6d310b33d19f026fa6bf57cdfc89fbd4dd</t>
        </is>
      </c>
    </row>
    <row r="11">
      <c r="A11" s="6" t="inlineStr">
        <is>
          <t>MS registrada</t>
        </is>
      </c>
      <c r="B11" s="6" t="inlineStr">
        <is>
          <t>dry_matter_recorded.csv</t>
        </is>
      </c>
      <c r="C11" s="6" t="inlineStr">
        <is>
          <t>registrado</t>
        </is>
      </c>
      <c r="D11" s="6" t="n">
        <v>154</v>
      </c>
      <c r="E11" s="6" t="inlineStr">
        <is>
          <t>observation_id</t>
        </is>
      </c>
      <c r="F11" s="6" t="inlineStr">
        <is>
          <t>3c8bd7648466910434220d48b656dc6d310b33d19f026fa6bf57cdfc89fbd4dd</t>
        </is>
      </c>
    </row>
    <row r="12">
      <c r="A12" s="6" t="inlineStr">
        <is>
          <t>MS calculada</t>
        </is>
      </c>
      <c r="B12" s="6" t="inlineStr">
        <is>
          <t>dry_matter_calculated.csv</t>
        </is>
      </c>
      <c r="C12" s="6" t="inlineStr">
        <is>
          <t>calculado</t>
        </is>
      </c>
      <c r="D12" s="6" t="n">
        <v>154</v>
      </c>
      <c r="E12" s="6" t="inlineStr">
        <is>
          <t>observation_id</t>
        </is>
      </c>
      <c r="F12" s="6" t="inlineStr">
        <is>
          <t>3c8bd7648466910434220d48b656dc6d310b33d19f026fa6bf57cdfc89fbd4dd</t>
        </is>
      </c>
    </row>
    <row r="13">
      <c r="A13" s="6" t="inlineStr">
        <is>
          <t>Cosecha registrada</t>
        </is>
      </c>
      <c r="B13" s="6" t="inlineStr">
        <is>
          <t>harvest_recorded.csv</t>
        </is>
      </c>
      <c r="C13" s="6" t="inlineStr">
        <is>
          <t>registrado</t>
        </is>
      </c>
      <c r="D13" s="6" t="n">
        <v>48</v>
      </c>
      <c r="E13" s="6" t="inlineStr">
        <is>
          <t>observation_id</t>
        </is>
      </c>
      <c r="F13" s="6" t="inlineStr">
        <is>
          <t>3c8bd7648466910434220d48b656dc6d310b33d19f026fa6bf57cdfc89fbd4dd</t>
        </is>
      </c>
    </row>
    <row r="14">
      <c r="A14" s="6" t="inlineStr">
        <is>
          <t>Cosecha calculada</t>
        </is>
      </c>
      <c r="B14" s="6" t="inlineStr">
        <is>
          <t>harvest_calculated.csv</t>
        </is>
      </c>
      <c r="C14" s="6" t="inlineStr">
        <is>
          <t>calculado</t>
        </is>
      </c>
      <c r="D14" s="6" t="n">
        <v>48</v>
      </c>
      <c r="E14" s="6" t="inlineStr">
        <is>
          <t>observation_id</t>
        </is>
      </c>
      <c r="F14" s="6" t="inlineStr">
        <is>
          <t>3c8bd7648466910434220d48b656dc6d310b33d19f026fa6bf57cdfc89fbd4dd</t>
        </is>
      </c>
    </row>
    <row r="15">
      <c r="A15" s="6" t="inlineStr">
        <is>
          <t>Calidad registrada</t>
        </is>
      </c>
      <c r="B15" s="6" t="inlineStr">
        <is>
          <t>quality_recorded.csv</t>
        </is>
      </c>
      <c r="C15" s="6" t="inlineStr">
        <is>
          <t>registrado</t>
        </is>
      </c>
      <c r="D15" s="6" t="n">
        <v>152</v>
      </c>
      <c r="E15" s="6" t="inlineStr">
        <is>
          <t>sample_id</t>
        </is>
      </c>
      <c r="F15" s="6" t="inlineStr">
        <is>
          <t>3c8bd7648466910434220d48b656dc6d310b33d19f026fa6bf57cdfc89fbd4dd</t>
        </is>
      </c>
    </row>
    <row r="16">
      <c r="A16" s="6" t="inlineStr">
        <is>
          <t>Calidad calculada</t>
        </is>
      </c>
      <c r="B16" s="6" t="inlineStr">
        <is>
          <t>quality_calculated.csv</t>
        </is>
      </c>
      <c r="C16" s="6" t="inlineStr">
        <is>
          <t>calculado</t>
        </is>
      </c>
      <c r="D16" s="6" t="n">
        <v>152</v>
      </c>
      <c r="E16" s="6" t="inlineStr">
        <is>
          <t>sample_id</t>
        </is>
      </c>
      <c r="F16" s="6" t="inlineStr">
        <is>
          <t>3c8bd7648466910434220d48b656dc6d310b33d19f026fa6bf57cdfc89fbd4dd</t>
        </is>
      </c>
    </row>
    <row r="17">
      <c r="A17" s="6" t="inlineStr">
        <is>
          <t>Calidad faltante</t>
        </is>
      </c>
      <c r="B17" s="6" t="inlineStr">
        <is>
          <t>missing_quality_estimate.csv</t>
        </is>
      </c>
      <c r="C17" s="6" t="inlineStr">
        <is>
          <t>calculado</t>
        </is>
      </c>
      <c r="D17" s="6" t="n">
        <v>1</v>
      </c>
      <c r="E17" s="6" t="inlineStr">
        <is>
          <t>sample_id</t>
        </is>
      </c>
      <c r="F17" s="6" t="inlineStr">
        <is>
          <t>3c8bd7648466910434220d48b656dc6d310b33d19f026fa6bf57cdfc89fbd4dd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7" customWidth="1" min="2" max="2"/>
    <col width="40" customWidth="1" min="3" max="3"/>
    <col width="42" customWidth="1" min="4" max="4"/>
    <col width="11" customWidth="1" min="5" max="5"/>
    <col width="21" customWidth="1" min="6" max="6"/>
    <col width="14" customWidth="1" min="7" max="7"/>
    <col width="40" customWidth="1" min="8" max="8"/>
  </cols>
  <sheetData>
    <row r="1" ht="25" customHeight="1">
      <c r="A1" s="1" t="inlineStr">
        <is>
          <t>Diccionario</t>
        </is>
      </c>
      <c r="B1" s="2" t="n"/>
      <c r="C1" s="2" t="n"/>
      <c r="D1" s="2" t="n"/>
      <c r="E1" s="2" t="n"/>
      <c r="F1" s="2" t="n"/>
      <c r="G1" s="2" t="n"/>
      <c r="H1" s="2" t="n"/>
    </row>
    <row r="2" ht="31" customHeight="1">
      <c r="A2" s="3" t="inlineStr">
        <is>
          <t>Documentación generada desde manifest.json y formulas.json; SHA-256 del conjunto: 3c8bd7648466910434220d48b656dc6d310b33d19f026fa6bf57cdfc89fbd4dd</t>
        </is>
      </c>
      <c r="B2" s="4" t="n"/>
      <c r="C2" s="4" t="n"/>
      <c r="D2" s="4" t="n"/>
      <c r="E2" s="4" t="n"/>
      <c r="F2" s="4" t="n"/>
      <c r="G2" s="4" t="n"/>
      <c r="H2" s="4" t="n"/>
    </row>
    <row r="4" ht="38" customHeight="1">
      <c r="A4" s="5" t="inlineStr">
        <is>
          <t>Hoja</t>
        </is>
      </c>
      <c r="B4" s="5" t="inlineStr">
        <is>
          <t>CSV de origen</t>
        </is>
      </c>
      <c r="C4" s="5" t="inlineStr">
        <is>
          <t>Nombre técnico</t>
        </is>
      </c>
      <c r="D4" s="5" t="inlineStr">
        <is>
          <t>Nombre español</t>
        </is>
      </c>
      <c r="E4" s="5" t="inlineStr">
        <is>
          <t>Tipo</t>
        </is>
      </c>
      <c r="F4" s="5" t="inlineStr">
        <is>
          <t>Unidad</t>
        </is>
      </c>
      <c r="G4" s="5" t="inlineStr">
        <is>
          <t>Admite vacío</t>
        </is>
      </c>
      <c r="H4" s="5" t="inlineStr">
        <is>
          <t>Relación</t>
        </is>
      </c>
    </row>
    <row r="5">
      <c r="A5" s="6" t="inlineStr">
        <is>
          <t>Diseño</t>
        </is>
      </c>
      <c r="B5" s="6" t="inlineStr">
        <is>
          <t>experimental_design.csv</t>
        </is>
      </c>
      <c r="C5" s="6" t="inlineStr">
        <is>
          <t>block</t>
        </is>
      </c>
      <c r="D5" s="6" t="inlineStr">
        <is>
          <t>Bloque</t>
        </is>
      </c>
      <c r="E5" s="6" t="inlineStr">
        <is>
          <t>string</t>
        </is>
      </c>
      <c r="F5" s="6" t="n"/>
      <c r="G5" s="6" t="b">
        <v>0</v>
      </c>
      <c r="H5" s="6" t="inlineStr"/>
    </row>
    <row r="6">
      <c r="A6" s="6" t="inlineStr">
        <is>
          <t>Diseño</t>
        </is>
      </c>
      <c r="B6" s="6" t="inlineStr">
        <is>
          <t>experimental_design.csv</t>
        </is>
      </c>
      <c r="C6" s="6" t="inlineStr">
        <is>
          <t>plot_position</t>
        </is>
      </c>
      <c r="D6" s="6" t="inlineStr">
        <is>
          <t>Posición de parcela</t>
        </is>
      </c>
      <c r="E6" s="6" t="inlineStr">
        <is>
          <t>integer</t>
        </is>
      </c>
      <c r="F6" s="6" t="n"/>
      <c r="G6" s="6" t="b">
        <v>0</v>
      </c>
      <c r="H6" s="6" t="inlineStr"/>
    </row>
    <row r="7">
      <c r="A7" s="6" t="inlineStr">
        <is>
          <t>Diseño</t>
        </is>
      </c>
      <c r="B7" s="6" t="inlineStr">
        <is>
          <t>experimental_design.csv</t>
        </is>
      </c>
      <c r="C7" s="6" t="inlineStr">
        <is>
          <t>treatment</t>
        </is>
      </c>
      <c r="D7" s="6" t="inlineStr">
        <is>
          <t>Tratamiento</t>
        </is>
      </c>
      <c r="E7" s="6" t="inlineStr">
        <is>
          <t>string</t>
        </is>
      </c>
      <c r="F7" s="6" t="n"/>
      <c r="G7" s="6" t="b">
        <v>0</v>
      </c>
      <c r="H7" s="6" t="inlineStr"/>
    </row>
    <row r="8">
      <c r="A8" s="6" t="inlineStr">
        <is>
          <t>Metadatos</t>
        </is>
      </c>
      <c r="B8" s="6" t="inlineStr">
        <is>
          <t>experiment_metadata.csv</t>
        </is>
      </c>
      <c r="C8" s="6" t="inlineStr">
        <is>
          <t>parameter</t>
        </is>
      </c>
      <c r="D8" s="6" t="inlineStr">
        <is>
          <t>Parámetro</t>
        </is>
      </c>
      <c r="E8" s="6" t="inlineStr">
        <is>
          <t>string</t>
        </is>
      </c>
      <c r="F8" s="6" t="n"/>
      <c r="G8" s="6" t="b">
        <v>0</v>
      </c>
      <c r="H8" s="6" t="inlineStr"/>
    </row>
    <row r="9">
      <c r="A9" s="6" t="inlineStr">
        <is>
          <t>Metadatos</t>
        </is>
      </c>
      <c r="B9" s="6" t="inlineStr">
        <is>
          <t>experiment_metadata.csv</t>
        </is>
      </c>
      <c r="C9" s="6" t="inlineStr">
        <is>
          <t>value</t>
        </is>
      </c>
      <c r="D9" s="6" t="inlineStr">
        <is>
          <t>Valor</t>
        </is>
      </c>
      <c r="E9" s="6" t="inlineStr">
        <is>
          <t>string</t>
        </is>
      </c>
      <c r="F9" s="6" t="n"/>
      <c r="G9" s="6" t="b">
        <v>0</v>
      </c>
      <c r="H9" s="6" t="inlineStr"/>
    </row>
    <row r="10">
      <c r="A10" s="6" t="inlineStr">
        <is>
          <t>Metadatos</t>
        </is>
      </c>
      <c r="B10" s="6" t="inlineStr">
        <is>
          <t>experiment_metadata.csv</t>
        </is>
      </c>
      <c r="C10" s="6" t="inlineStr">
        <is>
          <t>value_type</t>
        </is>
      </c>
      <c r="D10" s="6" t="inlineStr">
        <is>
          <t>Tipo de valor</t>
        </is>
      </c>
      <c r="E10" s="6" t="inlineStr">
        <is>
          <t>string</t>
        </is>
      </c>
      <c r="F10" s="6" t="n"/>
      <c r="G10" s="6" t="b">
        <v>0</v>
      </c>
      <c r="H10" s="6" t="inlineStr"/>
    </row>
    <row r="11">
      <c r="A11" s="6" t="inlineStr">
        <is>
          <t>Metadatos</t>
        </is>
      </c>
      <c r="B11" s="6" t="inlineStr">
        <is>
          <t>experiment_metadata.csv</t>
        </is>
      </c>
      <c r="C11" s="6" t="inlineStr">
        <is>
          <t>unit</t>
        </is>
      </c>
      <c r="D11" s="6" t="inlineStr">
        <is>
          <t>Unidad</t>
        </is>
      </c>
      <c r="E11" s="6" t="inlineStr">
        <is>
          <t>string</t>
        </is>
      </c>
      <c r="F11" s="6" t="n"/>
      <c r="G11" s="6" t="b">
        <v>1</v>
      </c>
      <c r="H11" s="6" t="inlineStr"/>
    </row>
    <row r="12">
      <c r="A12" s="6" t="inlineStr">
        <is>
          <t>Metadatos</t>
        </is>
      </c>
      <c r="B12" s="6" t="inlineStr">
        <is>
          <t>experiment_metadata.csv</t>
        </is>
      </c>
      <c r="C12" s="6" t="inlineStr">
        <is>
          <t>legacy_source</t>
        </is>
      </c>
      <c r="D12" s="6" t="inlineStr">
        <is>
          <t>Referencia histórica</t>
        </is>
      </c>
      <c r="E12" s="6" t="inlineStr">
        <is>
          <t>string</t>
        </is>
      </c>
      <c r="F12" s="6" t="n"/>
      <c r="G12" s="6" t="b">
        <v>0</v>
      </c>
      <c r="H12" s="6" t="inlineStr"/>
    </row>
    <row r="13">
      <c r="A13" s="6" t="inlineStr">
        <is>
          <t>Cronograma</t>
        </is>
      </c>
      <c r="B13" s="6" t="inlineStr">
        <is>
          <t>field_timeline.csv</t>
        </is>
      </c>
      <c r="C13" s="6" t="inlineStr">
        <is>
          <t>event_id</t>
        </is>
      </c>
      <c r="D13" s="6" t="inlineStr">
        <is>
          <t>Identificador del evento</t>
        </is>
      </c>
      <c r="E13" s="6" t="inlineStr">
        <is>
          <t>string</t>
        </is>
      </c>
      <c r="F13" s="6" t="n"/>
      <c r="G13" s="6" t="b">
        <v>0</v>
      </c>
      <c r="H13" s="6" t="inlineStr"/>
    </row>
    <row r="14">
      <c r="A14" s="6" t="inlineStr">
        <is>
          <t>Cronograma</t>
        </is>
      </c>
      <c r="B14" s="6" t="inlineStr">
        <is>
          <t>field_timeline.csv</t>
        </is>
      </c>
      <c r="C14" s="6" t="inlineStr">
        <is>
          <t>date</t>
        </is>
      </c>
      <c r="D14" s="6" t="inlineStr">
        <is>
          <t>Fecha</t>
        </is>
      </c>
      <c r="E14" s="6" t="inlineStr">
        <is>
          <t>date</t>
        </is>
      </c>
      <c r="F14" s="6" t="n"/>
      <c r="G14" s="6" t="b">
        <v>0</v>
      </c>
      <c r="H14" s="6" t="inlineStr"/>
    </row>
    <row r="15">
      <c r="A15" s="6" t="inlineStr">
        <is>
          <t>Cronograma</t>
        </is>
      </c>
      <c r="B15" s="6" t="inlineStr">
        <is>
          <t>field_timeline.csv</t>
        </is>
      </c>
      <c r="C15" s="6" t="inlineStr">
        <is>
          <t>event_type</t>
        </is>
      </c>
      <c r="D15" s="6" t="inlineStr">
        <is>
          <t>Tipo de evento</t>
        </is>
      </c>
      <c r="E15" s="6" t="inlineStr">
        <is>
          <t>string</t>
        </is>
      </c>
      <c r="F15" s="6" t="n"/>
      <c r="G15" s="6" t="b">
        <v>0</v>
      </c>
      <c r="H15" s="6" t="inlineStr"/>
    </row>
    <row r="16">
      <c r="A16" s="6" t="inlineStr">
        <is>
          <t>Cronograma</t>
        </is>
      </c>
      <c r="B16" s="6" t="inlineStr">
        <is>
          <t>field_timeline.csv</t>
        </is>
      </c>
      <c r="C16" s="6" t="inlineStr">
        <is>
          <t>scope</t>
        </is>
      </c>
      <c r="D16" s="6" t="inlineStr">
        <is>
          <t>Alcance</t>
        </is>
      </c>
      <c r="E16" s="6" t="inlineStr">
        <is>
          <t>string</t>
        </is>
      </c>
      <c r="F16" s="6" t="n"/>
      <c r="G16" s="6" t="b">
        <v>0</v>
      </c>
      <c r="H16" s="6" t="inlineStr"/>
    </row>
    <row r="17">
      <c r="A17" s="6" t="inlineStr">
        <is>
          <t>Cronograma</t>
        </is>
      </c>
      <c r="B17" s="6" t="inlineStr">
        <is>
          <t>field_timeline.csv</t>
        </is>
      </c>
      <c r="C17" s="6" t="inlineStr">
        <is>
          <t>treatment</t>
        </is>
      </c>
      <c r="D17" s="6" t="inlineStr">
        <is>
          <t>Tratamiento</t>
        </is>
      </c>
      <c r="E17" s="6" t="inlineStr">
        <is>
          <t>string</t>
        </is>
      </c>
      <c r="F17" s="6" t="n"/>
      <c r="G17" s="6" t="b">
        <v>1</v>
      </c>
      <c r="H17" s="6" t="inlineStr"/>
    </row>
    <row r="18">
      <c r="A18" s="6" t="inlineStr">
        <is>
          <t>Cronograma</t>
        </is>
      </c>
      <c r="B18" s="6" t="inlineStr">
        <is>
          <t>field_timeline.csv</t>
        </is>
      </c>
      <c r="C18" s="6" t="inlineStr">
        <is>
          <t>application_number</t>
        </is>
      </c>
      <c r="D18" s="6" t="inlineStr">
        <is>
          <t>Número de aplicación</t>
        </is>
      </c>
      <c r="E18" s="6" t="inlineStr">
        <is>
          <t>integer</t>
        </is>
      </c>
      <c r="F18" s="6" t="n"/>
      <c r="G18" s="6" t="b">
        <v>1</v>
      </c>
      <c r="H18" s="6" t="inlineStr"/>
    </row>
    <row r="19">
      <c r="A19" s="6" t="inlineStr">
        <is>
          <t>Cronograma</t>
        </is>
      </c>
      <c r="B19" s="6" t="inlineStr">
        <is>
          <t>field_timeline.csv</t>
        </is>
      </c>
      <c r="C19" s="6" t="inlineStr">
        <is>
          <t>growth_stage</t>
        </is>
      </c>
      <c r="D19" s="6" t="inlineStr">
        <is>
          <t>Estado fenológico</t>
        </is>
      </c>
      <c r="E19" s="6" t="inlineStr">
        <is>
          <t>string</t>
        </is>
      </c>
      <c r="F19" s="6" t="n"/>
      <c r="G19" s="6" t="b">
        <v>1</v>
      </c>
      <c r="H19" s="6" t="inlineStr"/>
    </row>
    <row r="20">
      <c r="A20" s="6" t="inlineStr">
        <is>
          <t>Cronograma</t>
        </is>
      </c>
      <c r="B20" s="6" t="inlineStr">
        <is>
          <t>field_timeline.csv</t>
        </is>
      </c>
      <c r="C20" s="6" t="inlineStr">
        <is>
          <t>description</t>
        </is>
      </c>
      <c r="D20" s="6" t="inlineStr">
        <is>
          <t>Descripción</t>
        </is>
      </c>
      <c r="E20" s="6" t="inlineStr">
        <is>
          <t>string</t>
        </is>
      </c>
      <c r="F20" s="6" t="n"/>
      <c r="G20" s="6" t="b">
        <v>0</v>
      </c>
      <c r="H20" s="6" t="inlineStr"/>
    </row>
    <row r="21">
      <c r="A21" s="6" t="inlineStr">
        <is>
          <t>Cronograma</t>
        </is>
      </c>
      <c r="B21" s="6" t="inlineStr">
        <is>
          <t>field_timeline.csv</t>
        </is>
      </c>
      <c r="C21" s="6" t="inlineStr">
        <is>
          <t>within_day_order_known</t>
        </is>
      </c>
      <c r="D21" s="6" t="inlineStr">
        <is>
          <t>Orden intradía conocido</t>
        </is>
      </c>
      <c r="E21" s="6" t="inlineStr">
        <is>
          <t>boolean</t>
        </is>
      </c>
      <c r="F21" s="6" t="n"/>
      <c r="G21" s="6" t="b">
        <v>1</v>
      </c>
      <c r="H21" s="6" t="inlineStr"/>
    </row>
    <row r="22">
      <c r="A22" s="6" t="inlineStr">
        <is>
          <t>Suelo</t>
        </is>
      </c>
      <c r="B22" s="6" t="inlineStr">
        <is>
          <t>soil_analysis.csv</t>
        </is>
      </c>
      <c r="C22" s="6" t="inlineStr">
        <is>
          <t>parameter</t>
        </is>
      </c>
      <c r="D22" s="6" t="inlineStr">
        <is>
          <t>Parámetro</t>
        </is>
      </c>
      <c r="E22" s="6" t="inlineStr">
        <is>
          <t>string</t>
        </is>
      </c>
      <c r="F22" s="6" t="n"/>
      <c r="G22" s="6" t="b">
        <v>0</v>
      </c>
      <c r="H22" s="6" t="inlineStr"/>
    </row>
    <row r="23">
      <c r="A23" s="6" t="inlineStr">
        <is>
          <t>Suelo</t>
        </is>
      </c>
      <c r="B23" s="6" t="inlineStr">
        <is>
          <t>soil_analysis.csv</t>
        </is>
      </c>
      <c r="C23" s="6" t="inlineStr">
        <is>
          <t>value</t>
        </is>
      </c>
      <c r="D23" s="6" t="inlineStr">
        <is>
          <t>Valor</t>
        </is>
      </c>
      <c r="E23" s="6" t="inlineStr">
        <is>
          <t>number</t>
        </is>
      </c>
      <c r="F23" s="6" t="n"/>
      <c r="G23" s="6" t="b">
        <v>0</v>
      </c>
      <c r="H23" s="6" t="inlineStr"/>
    </row>
    <row r="24">
      <c r="A24" s="6" t="inlineStr">
        <is>
          <t>Suelo</t>
        </is>
      </c>
      <c r="B24" s="6" t="inlineStr">
        <is>
          <t>soil_analysis.csv</t>
        </is>
      </c>
      <c r="C24" s="6" t="inlineStr">
        <is>
          <t>unit</t>
        </is>
      </c>
      <c r="D24" s="6" t="inlineStr">
        <is>
          <t>Unidad</t>
        </is>
      </c>
      <c r="E24" s="6" t="inlineStr">
        <is>
          <t>string</t>
        </is>
      </c>
      <c r="F24" s="6" t="n"/>
      <c r="G24" s="6" t="b">
        <v>1</v>
      </c>
      <c r="H24" s="6" t="inlineStr"/>
    </row>
    <row r="25">
      <c r="A25" s="6" t="inlineStr">
        <is>
          <t>Manejo</t>
        </is>
      </c>
      <c r="B25" s="6" t="inlineStr">
        <is>
          <t>field_management.csv</t>
        </is>
      </c>
      <c r="C25" s="6" t="inlineStr">
        <is>
          <t>year</t>
        </is>
      </c>
      <c r="D25" s="6" t="inlineStr">
        <is>
          <t>Año</t>
        </is>
      </c>
      <c r="E25" s="6" t="inlineStr">
        <is>
          <t>integer</t>
        </is>
      </c>
      <c r="F25" s="6" t="n"/>
      <c r="G25" s="6" t="b">
        <v>0</v>
      </c>
      <c r="H25" s="6" t="inlineStr"/>
    </row>
    <row r="26">
      <c r="A26" s="6" t="inlineStr">
        <is>
          <t>Manejo</t>
        </is>
      </c>
      <c r="B26" s="6" t="inlineStr">
        <is>
          <t>field_management.csv</t>
        </is>
      </c>
      <c r="C26" s="6" t="inlineStr">
        <is>
          <t>month</t>
        </is>
      </c>
      <c r="D26" s="6" t="inlineStr">
        <is>
          <t>Mes</t>
        </is>
      </c>
      <c r="E26" s="6" t="inlineStr">
        <is>
          <t>integer</t>
        </is>
      </c>
      <c r="F26" s="6" t="n"/>
      <c r="G26" s="6" t="b">
        <v>0</v>
      </c>
      <c r="H26" s="6" t="inlineStr"/>
    </row>
    <row r="27">
      <c r="A27" s="6" t="inlineStr">
        <is>
          <t>Manejo</t>
        </is>
      </c>
      <c r="B27" s="6" t="inlineStr">
        <is>
          <t>field_management.csv</t>
        </is>
      </c>
      <c r="C27" s="6" t="inlineStr">
        <is>
          <t>month_label</t>
        </is>
      </c>
      <c r="D27" s="6" t="inlineStr">
        <is>
          <t>Nombre del mes</t>
        </is>
      </c>
      <c r="E27" s="6" t="inlineStr">
        <is>
          <t>string</t>
        </is>
      </c>
      <c r="F27" s="6" t="n"/>
      <c r="G27" s="6" t="b">
        <v>0</v>
      </c>
      <c r="H27" s="6" t="inlineStr"/>
    </row>
    <row r="28">
      <c r="A28" s="6" t="inlineStr">
        <is>
          <t>Manejo</t>
        </is>
      </c>
      <c r="B28" s="6" t="inlineStr">
        <is>
          <t>field_management.csv</t>
        </is>
      </c>
      <c r="C28" s="6" t="inlineStr">
        <is>
          <t>activity</t>
        </is>
      </c>
      <c r="D28" s="6" t="inlineStr">
        <is>
          <t>Actividad de manejo</t>
        </is>
      </c>
      <c r="E28" s="6" t="inlineStr">
        <is>
          <t>string</t>
        </is>
      </c>
      <c r="F28" s="6" t="n"/>
      <c r="G28" s="6" t="b">
        <v>1</v>
      </c>
      <c r="H28" s="6" t="inlineStr"/>
    </row>
    <row r="29">
      <c r="A29" s="6" t="inlineStr">
        <is>
          <t>Agua</t>
        </is>
      </c>
      <c r="B29" s="6" t="inlineStr">
        <is>
          <t>water_inputs.csv</t>
        </is>
      </c>
      <c r="C29" s="6" t="inlineStr">
        <is>
          <t>year</t>
        </is>
      </c>
      <c r="D29" s="6" t="inlineStr">
        <is>
          <t>Año</t>
        </is>
      </c>
      <c r="E29" s="6" t="inlineStr">
        <is>
          <t>integer</t>
        </is>
      </c>
      <c r="F29" s="6" t="n"/>
      <c r="G29" s="6" t="b">
        <v>0</v>
      </c>
      <c r="H29" s="6" t="inlineStr"/>
    </row>
    <row r="30">
      <c r="A30" s="6" t="inlineStr">
        <is>
          <t>Agua</t>
        </is>
      </c>
      <c r="B30" s="6" t="inlineStr">
        <is>
          <t>water_inputs.csv</t>
        </is>
      </c>
      <c r="C30" s="6" t="inlineStr">
        <is>
          <t>month</t>
        </is>
      </c>
      <c r="D30" s="6" t="inlineStr">
        <is>
          <t>Mes</t>
        </is>
      </c>
      <c r="E30" s="6" t="inlineStr">
        <is>
          <t>integer</t>
        </is>
      </c>
      <c r="F30" s="6" t="n"/>
      <c r="G30" s="6" t="b">
        <v>0</v>
      </c>
      <c r="H30" s="6" t="inlineStr"/>
    </row>
    <row r="31">
      <c r="A31" s="6" t="inlineStr">
        <is>
          <t>Agua</t>
        </is>
      </c>
      <c r="B31" s="6" t="inlineStr">
        <is>
          <t>water_inputs.csv</t>
        </is>
      </c>
      <c r="C31" s="6" t="inlineStr">
        <is>
          <t>month_label</t>
        </is>
      </c>
      <c r="D31" s="6" t="inlineStr">
        <is>
          <t>Nombre del mes</t>
        </is>
      </c>
      <c r="E31" s="6" t="inlineStr">
        <is>
          <t>string</t>
        </is>
      </c>
      <c r="F31" s="6" t="n"/>
      <c r="G31" s="6" t="b">
        <v>0</v>
      </c>
      <c r="H31" s="6" t="inlineStr"/>
    </row>
    <row r="32">
      <c r="A32" s="6" t="inlineStr">
        <is>
          <t>Agua</t>
        </is>
      </c>
      <c r="B32" s="6" t="inlineStr">
        <is>
          <t>water_inputs.csv</t>
        </is>
      </c>
      <c r="C32" s="6" t="inlineStr">
        <is>
          <t>irrigation_mm</t>
        </is>
      </c>
      <c r="D32" s="6" t="inlineStr">
        <is>
          <t>Riego suplementario</t>
        </is>
      </c>
      <c r="E32" s="6" t="inlineStr">
        <is>
          <t>number</t>
        </is>
      </c>
      <c r="F32" s="6" t="inlineStr">
        <is>
          <t>mm</t>
        </is>
      </c>
      <c r="G32" s="6" t="b">
        <v>0</v>
      </c>
      <c r="H32" s="6" t="inlineStr"/>
    </row>
    <row r="33">
      <c r="A33" s="6" t="inlineStr">
        <is>
          <t>Agua</t>
        </is>
      </c>
      <c r="B33" s="6" t="inlineStr">
        <is>
          <t>water_inputs.csv</t>
        </is>
      </c>
      <c r="C33" s="6" t="inlineStr">
        <is>
          <t>rainfall_mm</t>
        </is>
      </c>
      <c r="D33" s="6" t="inlineStr">
        <is>
          <t>Precipitación</t>
        </is>
      </c>
      <c r="E33" s="6" t="inlineStr">
        <is>
          <t>number</t>
        </is>
      </c>
      <c r="F33" s="6" t="inlineStr">
        <is>
          <t>mm</t>
        </is>
      </c>
      <c r="G33" s="6" t="b">
        <v>0</v>
      </c>
      <c r="H33" s="6" t="inlineStr"/>
    </row>
    <row r="34">
      <c r="A34" s="6" t="inlineStr">
        <is>
          <t>MS registrada</t>
        </is>
      </c>
      <c r="B34" s="6" t="inlineStr">
        <is>
          <t>dry_matter_recorded.csv</t>
        </is>
      </c>
      <c r="C34" s="6" t="inlineStr">
        <is>
          <t>observation_id</t>
        </is>
      </c>
      <c r="D34" s="6" t="inlineStr">
        <is>
          <t>Identificador de observación</t>
        </is>
      </c>
      <c r="E34" s="6" t="inlineStr">
        <is>
          <t>string</t>
        </is>
      </c>
      <c r="F34" s="6" t="n"/>
      <c r="G34" s="6" t="b">
        <v>0</v>
      </c>
      <c r="H34" s="6" t="inlineStr"/>
    </row>
    <row r="35">
      <c r="A35" s="6" t="inlineStr">
        <is>
          <t>MS registrada</t>
        </is>
      </c>
      <c r="B35" s="6" t="inlineStr">
        <is>
          <t>dry_matter_recorded.csv</t>
        </is>
      </c>
      <c r="C35" s="6" t="inlineStr">
        <is>
          <t>date</t>
        </is>
      </c>
      <c r="D35" s="6" t="inlineStr">
        <is>
          <t>Fecha</t>
        </is>
      </c>
      <c r="E35" s="6" t="inlineStr">
        <is>
          <t>date</t>
        </is>
      </c>
      <c r="F35" s="6" t="n"/>
      <c r="G35" s="6" t="b">
        <v>0</v>
      </c>
      <c r="H35" s="6" t="inlineStr"/>
    </row>
    <row r="36">
      <c r="A36" s="6" t="inlineStr">
        <is>
          <t>MS registrada</t>
        </is>
      </c>
      <c r="B36" s="6" t="inlineStr">
        <is>
          <t>dry_matter_recorded.csv</t>
        </is>
      </c>
      <c r="C36" s="6" t="inlineStr">
        <is>
          <t>sample_id</t>
        </is>
      </c>
      <c r="D36" s="6" t="inlineStr">
        <is>
          <t>Muestra</t>
        </is>
      </c>
      <c r="E36" s="6" t="inlineStr">
        <is>
          <t>integer</t>
        </is>
      </c>
      <c r="F36" s="6" t="n"/>
      <c r="G36" s="6" t="b">
        <v>1</v>
      </c>
      <c r="H36" s="6" t="inlineStr"/>
    </row>
    <row r="37">
      <c r="A37" s="6" t="inlineStr">
        <is>
          <t>MS registrada</t>
        </is>
      </c>
      <c r="B37" s="6" t="inlineStr">
        <is>
          <t>dry_matter_recorded.csv</t>
        </is>
      </c>
      <c r="C37" s="6" t="inlineStr">
        <is>
          <t>sector</t>
        </is>
      </c>
      <c r="D37" s="6" t="inlineStr">
        <is>
          <t>Sector hídrico</t>
        </is>
      </c>
      <c r="E37" s="6" t="inlineStr">
        <is>
          <t>string</t>
        </is>
      </c>
      <c r="F37" s="6" t="n"/>
      <c r="G37" s="6" t="b">
        <v>0</v>
      </c>
      <c r="H37" s="6" t="inlineStr"/>
    </row>
    <row r="38">
      <c r="A38" s="6" t="inlineStr">
        <is>
          <t>MS registrada</t>
        </is>
      </c>
      <c r="B38" s="6" t="inlineStr">
        <is>
          <t>dry_matter_recorded.csv</t>
        </is>
      </c>
      <c r="C38" s="6" t="inlineStr">
        <is>
          <t>treatment</t>
        </is>
      </c>
      <c r="D38" s="6" t="inlineStr">
        <is>
          <t>Tratamiento</t>
        </is>
      </c>
      <c r="E38" s="6" t="inlineStr">
        <is>
          <t>string</t>
        </is>
      </c>
      <c r="F38" s="6" t="n"/>
      <c r="G38" s="6" t="b">
        <v>0</v>
      </c>
      <c r="H38" s="6" t="inlineStr"/>
    </row>
    <row r="39">
      <c r="A39" s="6" t="inlineStr">
        <is>
          <t>MS registrada</t>
        </is>
      </c>
      <c r="B39" s="6" t="inlineStr">
        <is>
          <t>dry_matter_recorded.csv</t>
        </is>
      </c>
      <c r="C39" s="6" t="inlineStr">
        <is>
          <t>block</t>
        </is>
      </c>
      <c r="D39" s="6" t="inlineStr">
        <is>
          <t>Bloque</t>
        </is>
      </c>
      <c r="E39" s="6" t="inlineStr">
        <is>
          <t>string</t>
        </is>
      </c>
      <c r="F39" s="6" t="n"/>
      <c r="G39" s="6" t="b">
        <v>0</v>
      </c>
      <c r="H39" s="6" t="inlineStr"/>
    </row>
    <row r="40">
      <c r="A40" s="6" t="inlineStr">
        <is>
          <t>MS registrada</t>
        </is>
      </c>
      <c r="B40" s="6" t="inlineStr">
        <is>
          <t>dry_matter_recorded.csv</t>
        </is>
      </c>
      <c r="C40" s="6" t="inlineStr">
        <is>
          <t>tillers_30_cm</t>
        </is>
      </c>
      <c r="D40" s="6" t="inlineStr">
        <is>
          <t>Macollos en 30 cm</t>
        </is>
      </c>
      <c r="E40" s="6" t="inlineStr">
        <is>
          <t>number</t>
        </is>
      </c>
      <c r="F40" s="6" t="inlineStr">
        <is>
          <t>macollos/30 cm</t>
        </is>
      </c>
      <c r="G40" s="6" t="b">
        <v>1</v>
      </c>
      <c r="H40" s="6" t="inlineStr"/>
    </row>
    <row r="41">
      <c r="A41" s="6" t="inlineStr">
        <is>
          <t>MS registrada</t>
        </is>
      </c>
      <c r="B41" s="6" t="inlineStr">
        <is>
          <t>dry_matter_recorded.csv</t>
        </is>
      </c>
      <c r="C41" s="6" t="inlineStr">
        <is>
          <t>green_weight_1m_g</t>
        </is>
      </c>
      <c r="D41" s="6" t="inlineStr">
        <is>
          <t>Peso verde en un metro</t>
        </is>
      </c>
      <c r="E41" s="6" t="inlineStr">
        <is>
          <t>number</t>
        </is>
      </c>
      <c r="F41" s="6" t="inlineStr">
        <is>
          <t>g</t>
        </is>
      </c>
      <c r="G41" s="6" t="b">
        <v>1</v>
      </c>
      <c r="H41" s="6" t="inlineStr"/>
    </row>
    <row r="42">
      <c r="A42" s="6" t="inlineStr">
        <is>
          <t>MS registrada</t>
        </is>
      </c>
      <c r="B42" s="6" t="inlineStr">
        <is>
          <t>dry_matter_recorded.csv</t>
        </is>
      </c>
      <c r="C42" s="6" t="inlineStr">
        <is>
          <t>green_weight_sample_g</t>
        </is>
      </c>
      <c r="D42" s="6" t="inlineStr">
        <is>
          <t>Peso verde de la muestra</t>
        </is>
      </c>
      <c r="E42" s="6" t="inlineStr">
        <is>
          <t>number</t>
        </is>
      </c>
      <c r="F42" s="6" t="inlineStr">
        <is>
          <t>g</t>
        </is>
      </c>
      <c r="G42" s="6" t="b">
        <v>1</v>
      </c>
      <c r="H42" s="6" t="inlineStr"/>
    </row>
    <row r="43">
      <c r="A43" s="6" t="inlineStr">
        <is>
          <t>MS registrada</t>
        </is>
      </c>
      <c r="B43" s="6" t="inlineStr">
        <is>
          <t>dry_matter_recorded.csv</t>
        </is>
      </c>
      <c r="C43" s="6" t="inlineStr">
        <is>
          <t>tray_weight_g</t>
        </is>
      </c>
      <c r="D43" s="6" t="inlineStr">
        <is>
          <t>Peso de bandeja</t>
        </is>
      </c>
      <c r="E43" s="6" t="inlineStr">
        <is>
          <t>number</t>
        </is>
      </c>
      <c r="F43" s="6" t="inlineStr">
        <is>
          <t>g</t>
        </is>
      </c>
      <c r="G43" s="6" t="b">
        <v>1</v>
      </c>
      <c r="H43" s="6" t="inlineStr"/>
    </row>
    <row r="44">
      <c r="A44" s="6" t="inlineStr">
        <is>
          <t>MS registrada</t>
        </is>
      </c>
      <c r="B44" s="6" t="inlineStr">
        <is>
          <t>dry_matter_recorded.csv</t>
        </is>
      </c>
      <c r="C44" s="6" t="inlineStr">
        <is>
          <t>dry_weight_g</t>
        </is>
      </c>
      <c r="D44" s="6" t="inlineStr">
        <is>
          <t>Peso seco</t>
        </is>
      </c>
      <c r="E44" s="6" t="inlineStr">
        <is>
          <t>number</t>
        </is>
      </c>
      <c r="F44" s="6" t="inlineStr">
        <is>
          <t>g</t>
        </is>
      </c>
      <c r="G44" s="6" t="b">
        <v>1</v>
      </c>
      <c r="H44" s="6" t="inlineStr"/>
    </row>
    <row r="45">
      <c r="A45" s="6" t="inlineStr">
        <is>
          <t>MS registrada</t>
        </is>
      </c>
      <c r="B45" s="6" t="inlineStr">
        <is>
          <t>dry_matter_recorded.csv</t>
        </is>
      </c>
      <c r="C45" s="6" t="inlineStr">
        <is>
          <t>dry_matter_pct</t>
        </is>
      </c>
      <c r="D45" s="6" t="inlineStr">
        <is>
          <t>Materia seca registrada</t>
        </is>
      </c>
      <c r="E45" s="6" t="inlineStr">
        <is>
          <t>number</t>
        </is>
      </c>
      <c r="F45" s="6" t="inlineStr">
        <is>
          <t>%</t>
        </is>
      </c>
      <c r="G45" s="6" t="b">
        <v>1</v>
      </c>
      <c r="H45" s="6" t="inlineStr"/>
    </row>
    <row r="46">
      <c r="A46" s="6" t="inlineStr">
        <is>
          <t>MS calculada</t>
        </is>
      </c>
      <c r="B46" s="6" t="inlineStr">
        <is>
          <t>dry_matter_calculated.csv</t>
        </is>
      </c>
      <c r="C46" s="6" t="inlineStr">
        <is>
          <t>observation_id</t>
        </is>
      </c>
      <c r="D46" s="6" t="inlineStr">
        <is>
          <t>Identificador de observación</t>
        </is>
      </c>
      <c r="E46" s="6" t="inlineStr">
        <is>
          <t>string</t>
        </is>
      </c>
      <c r="F46" s="6" t="n"/>
      <c r="G46" s="6" t="b">
        <v>0</v>
      </c>
      <c r="H46" s="6" t="inlineStr">
        <is>
          <t>dry_matter_recorded.csv:observation_id</t>
        </is>
      </c>
    </row>
    <row r="47">
      <c r="A47" s="6" t="inlineStr">
        <is>
          <t>MS calculada</t>
        </is>
      </c>
      <c r="B47" s="6" t="inlineStr">
        <is>
          <t>dry_matter_calculated.csv</t>
        </is>
      </c>
      <c r="C47" s="6" t="inlineStr">
        <is>
          <t>dry_matter_pct_from_weights</t>
        </is>
      </c>
      <c r="D47" s="6" t="inlineStr">
        <is>
          <t>Materia seca reconstruida</t>
        </is>
      </c>
      <c r="E47" s="6" t="inlineStr">
        <is>
          <t>number</t>
        </is>
      </c>
      <c r="F47" s="6" t="inlineStr">
        <is>
          <t>%</t>
        </is>
      </c>
      <c r="G47" s="6" t="b">
        <v>1</v>
      </c>
      <c r="H47" s="6" t="inlineStr"/>
    </row>
    <row r="48">
      <c r="A48" s="6" t="inlineStr">
        <is>
          <t>MS calculada</t>
        </is>
      </c>
      <c r="B48" s="6" t="inlineStr">
        <is>
          <t>dry_matter_calculated.csv</t>
        </is>
      </c>
      <c r="C48" s="6" t="inlineStr">
        <is>
          <t>dry_matter_abs_difference_pp</t>
        </is>
      </c>
      <c r="D48" s="6" t="inlineStr">
        <is>
          <t>Diferencia absoluta de materia seca</t>
        </is>
      </c>
      <c r="E48" s="6" t="inlineStr">
        <is>
          <t>number</t>
        </is>
      </c>
      <c r="F48" s="6" t="inlineStr">
        <is>
          <t>puntos porcentuales</t>
        </is>
      </c>
      <c r="G48" s="6" t="b">
        <v>1</v>
      </c>
      <c r="H48" s="6" t="inlineStr"/>
    </row>
    <row r="49">
      <c r="A49" s="6" t="inlineStr">
        <is>
          <t>MS calculada</t>
        </is>
      </c>
      <c r="B49" s="6" t="inlineStr">
        <is>
          <t>dry_matter_calculated.csv</t>
        </is>
      </c>
      <c r="C49" s="6" t="inlineStr">
        <is>
          <t>dry_matter_relative_difference</t>
        </is>
      </c>
      <c r="D49" s="6" t="inlineStr">
        <is>
          <t>Diferencia relativa de materia seca</t>
        </is>
      </c>
      <c r="E49" s="6" t="inlineStr">
        <is>
          <t>number</t>
        </is>
      </c>
      <c r="F49" s="6" t="inlineStr">
        <is>
          <t>proporción</t>
        </is>
      </c>
      <c r="G49" s="6" t="b">
        <v>1</v>
      </c>
      <c r="H49" s="6" t="inlineStr"/>
    </row>
    <row r="50">
      <c r="A50" s="6" t="inlineStr">
        <is>
          <t>MS calculada</t>
        </is>
      </c>
      <c r="B50" s="6" t="inlineStr">
        <is>
          <t>dry_matter_calculated.csv</t>
        </is>
      </c>
      <c r="C50" s="6" t="inlineStr">
        <is>
          <t>dry_matter_issue</t>
        </is>
      </c>
      <c r="D50" s="6" t="inlineStr">
        <is>
          <t>Registro de materia seca a verificar</t>
        </is>
      </c>
      <c r="E50" s="6" t="inlineStr">
        <is>
          <t>boolean</t>
        </is>
      </c>
      <c r="F50" s="6" t="n"/>
      <c r="G50" s="6" t="b">
        <v>0</v>
      </c>
      <c r="H50" s="6" t="inlineStr"/>
    </row>
    <row r="51">
      <c r="A51" s="6" t="inlineStr">
        <is>
          <t>MS calculada</t>
        </is>
      </c>
      <c r="B51" s="6" t="inlineStr">
        <is>
          <t>dry_matter_calculated.csv</t>
        </is>
      </c>
      <c r="C51" s="6" t="inlineStr">
        <is>
          <t>biomass_reported_kg_ha</t>
        </is>
      </c>
      <c r="D51" s="6" t="inlineStr">
        <is>
          <t>Biomasa informada en el libro histórico</t>
        </is>
      </c>
      <c r="E51" s="6" t="inlineStr">
        <is>
          <t>number</t>
        </is>
      </c>
      <c r="F51" s="6" t="inlineStr">
        <is>
          <t>kg MS/ha</t>
        </is>
      </c>
      <c r="G51" s="6" t="b">
        <v>1</v>
      </c>
      <c r="H51" s="6" t="inlineStr"/>
    </row>
    <row r="52">
      <c r="A52" s="6" t="inlineStr">
        <is>
          <t>MS calculada</t>
        </is>
      </c>
      <c r="B52" s="6" t="inlineStr">
        <is>
          <t>dry_matter_calculated.csv</t>
        </is>
      </c>
      <c r="C52" s="6" t="inlineStr">
        <is>
          <t>biomass_recorded_dm_kg_ha</t>
        </is>
      </c>
      <c r="D52" s="6" t="inlineStr">
        <is>
          <t>Biomasa recalculada con materia seca registrada</t>
        </is>
      </c>
      <c r="E52" s="6" t="inlineStr">
        <is>
          <t>number</t>
        </is>
      </c>
      <c r="F52" s="6" t="inlineStr">
        <is>
          <t>kg MS/ha</t>
        </is>
      </c>
      <c r="G52" s="6" t="b">
        <v>1</v>
      </c>
      <c r="H52" s="6" t="inlineStr"/>
    </row>
    <row r="53">
      <c r="A53" s="6" t="inlineStr">
        <is>
          <t>MS calculada</t>
        </is>
      </c>
      <c r="B53" s="6" t="inlineStr">
        <is>
          <t>dry_matter_calculated.csv</t>
        </is>
      </c>
      <c r="C53" s="6" t="inlineStr">
        <is>
          <t>biomass_ratio_dm_kg_ha</t>
        </is>
      </c>
      <c r="D53" s="6" t="inlineStr">
        <is>
          <t>Biomasa recalculada con materia seca reconstruida</t>
        </is>
      </c>
      <c r="E53" s="6" t="inlineStr">
        <is>
          <t>number</t>
        </is>
      </c>
      <c r="F53" s="6" t="inlineStr">
        <is>
          <t>kg MS/ha</t>
        </is>
      </c>
      <c r="G53" s="6" t="b">
        <v>1</v>
      </c>
      <c r="H53" s="6" t="inlineStr"/>
    </row>
    <row r="54">
      <c r="A54" s="6" t="inlineStr">
        <is>
          <t>MS calculada</t>
        </is>
      </c>
      <c r="B54" s="6" t="inlineStr">
        <is>
          <t>dry_matter_calculated.csv</t>
        </is>
      </c>
      <c r="C54" s="6" t="inlineStr">
        <is>
          <t>biomass_recalculation_difference_kg_ha</t>
        </is>
      </c>
      <c r="D54" s="6" t="inlineStr">
        <is>
          <t>Diferencia entre biomasa recalculada e informada</t>
        </is>
      </c>
      <c r="E54" s="6" t="inlineStr">
        <is>
          <t>number</t>
        </is>
      </c>
      <c r="F54" s="6" t="inlineStr">
        <is>
          <t>kg MS/ha</t>
        </is>
      </c>
      <c r="G54" s="6" t="b">
        <v>1</v>
      </c>
      <c r="H54" s="6" t="inlineStr"/>
    </row>
    <row r="55">
      <c r="A55" s="6" t="inlineStr">
        <is>
          <t>MS calculada</t>
        </is>
      </c>
      <c r="B55" s="6" t="inlineStr">
        <is>
          <t>dry_matter_calculated.csv</t>
        </is>
      </c>
      <c r="C55" s="6" t="inlineStr">
        <is>
          <t>tiller_density_m2</t>
        </is>
      </c>
      <c r="D55" s="6" t="inlineStr">
        <is>
          <t>Densidad de macollos</t>
        </is>
      </c>
      <c r="E55" s="6" t="inlineStr">
        <is>
          <t>number</t>
        </is>
      </c>
      <c r="F55" s="6" t="inlineStr">
        <is>
          <t>macollos/m2</t>
        </is>
      </c>
      <c r="G55" s="6" t="b">
        <v>1</v>
      </c>
      <c r="H55" s="6" t="inlineStr"/>
    </row>
    <row r="56">
      <c r="A56" s="6" t="inlineStr">
        <is>
          <t>Cosecha registrada</t>
        </is>
      </c>
      <c r="B56" s="6" t="inlineStr">
        <is>
          <t>harvest_recorded.csv</t>
        </is>
      </c>
      <c r="C56" s="6" t="inlineStr">
        <is>
          <t>observation_id</t>
        </is>
      </c>
      <c r="D56" s="6" t="inlineStr">
        <is>
          <t>Identificador de observación</t>
        </is>
      </c>
      <c r="E56" s="6" t="inlineStr">
        <is>
          <t>string</t>
        </is>
      </c>
      <c r="F56" s="6" t="n"/>
      <c r="G56" s="6" t="b">
        <v>0</v>
      </c>
      <c r="H56" s="6" t="inlineStr"/>
    </row>
    <row r="57">
      <c r="A57" s="6" t="inlineStr">
        <is>
          <t>Cosecha registrada</t>
        </is>
      </c>
      <c r="B57" s="6" t="inlineStr">
        <is>
          <t>harvest_recorded.csv</t>
        </is>
      </c>
      <c r="C57" s="6" t="inlineStr">
        <is>
          <t>date</t>
        </is>
      </c>
      <c r="D57" s="6" t="inlineStr">
        <is>
          <t>Fecha</t>
        </is>
      </c>
      <c r="E57" s="6" t="inlineStr">
        <is>
          <t>date</t>
        </is>
      </c>
      <c r="F57" s="6" t="n"/>
      <c r="G57" s="6" t="b">
        <v>0</v>
      </c>
      <c r="H57" s="6" t="inlineStr"/>
    </row>
    <row r="58">
      <c r="A58" s="6" t="inlineStr">
        <is>
          <t>Cosecha registrada</t>
        </is>
      </c>
      <c r="B58" s="6" t="inlineStr">
        <is>
          <t>harvest_recorded.csv</t>
        </is>
      </c>
      <c r="C58" s="6" t="inlineStr">
        <is>
          <t>sample_id</t>
        </is>
      </c>
      <c r="D58" s="6" t="inlineStr">
        <is>
          <t>Muestra</t>
        </is>
      </c>
      <c r="E58" s="6" t="inlineStr">
        <is>
          <t>integer</t>
        </is>
      </c>
      <c r="F58" s="6" t="n"/>
      <c r="G58" s="6" t="b">
        <v>0</v>
      </c>
      <c r="H58" s="6" t="inlineStr"/>
    </row>
    <row r="59">
      <c r="A59" s="6" t="inlineStr">
        <is>
          <t>Cosecha registrada</t>
        </is>
      </c>
      <c r="B59" s="6" t="inlineStr">
        <is>
          <t>harvest_recorded.csv</t>
        </is>
      </c>
      <c r="C59" s="6" t="inlineStr">
        <is>
          <t>sector</t>
        </is>
      </c>
      <c r="D59" s="6" t="inlineStr">
        <is>
          <t>Sector hídrico</t>
        </is>
      </c>
      <c r="E59" s="6" t="inlineStr">
        <is>
          <t>string</t>
        </is>
      </c>
      <c r="F59" s="6" t="n"/>
      <c r="G59" s="6" t="b">
        <v>0</v>
      </c>
      <c r="H59" s="6" t="inlineStr"/>
    </row>
    <row r="60">
      <c r="A60" s="6" t="inlineStr">
        <is>
          <t>Cosecha registrada</t>
        </is>
      </c>
      <c r="B60" s="6" t="inlineStr">
        <is>
          <t>harvest_recorded.csv</t>
        </is>
      </c>
      <c r="C60" s="6" t="inlineStr">
        <is>
          <t>treatment</t>
        </is>
      </c>
      <c r="D60" s="6" t="inlineStr">
        <is>
          <t>Tratamiento</t>
        </is>
      </c>
      <c r="E60" s="6" t="inlineStr">
        <is>
          <t>string</t>
        </is>
      </c>
      <c r="F60" s="6" t="n"/>
      <c r="G60" s="6" t="b">
        <v>0</v>
      </c>
      <c r="H60" s="6" t="inlineStr"/>
    </row>
    <row r="61">
      <c r="A61" s="6" t="inlineStr">
        <is>
          <t>Cosecha registrada</t>
        </is>
      </c>
      <c r="B61" s="6" t="inlineStr">
        <is>
          <t>harvest_recorded.csv</t>
        </is>
      </c>
      <c r="C61" s="6" t="inlineStr">
        <is>
          <t>block</t>
        </is>
      </c>
      <c r="D61" s="6" t="inlineStr">
        <is>
          <t>Bloque</t>
        </is>
      </c>
      <c r="E61" s="6" t="inlineStr">
        <is>
          <t>string</t>
        </is>
      </c>
      <c r="F61" s="6" t="n"/>
      <c r="G61" s="6" t="b">
        <v>0</v>
      </c>
      <c r="H61" s="6" t="inlineStr"/>
    </row>
    <row r="62">
      <c r="A62" s="6" t="inlineStr">
        <is>
          <t>Cosecha registrada</t>
        </is>
      </c>
      <c r="B62" s="6" t="inlineStr">
        <is>
          <t>harvest_recorded.csv</t>
        </is>
      </c>
      <c r="C62" s="6" t="inlineStr">
        <is>
          <t>panicle_count</t>
        </is>
      </c>
      <c r="D62" s="6" t="inlineStr">
        <is>
          <t>Panojas en el área cosechada</t>
        </is>
      </c>
      <c r="E62" s="6" t="inlineStr">
        <is>
          <t>number</t>
        </is>
      </c>
      <c r="F62" s="6" t="inlineStr">
        <is>
          <t>panojas</t>
        </is>
      </c>
      <c r="G62" s="6" t="b">
        <v>0</v>
      </c>
      <c r="H62" s="6" t="inlineStr"/>
    </row>
    <row r="63">
      <c r="A63" s="6" t="inlineStr">
        <is>
          <t>Cosecha registrada</t>
        </is>
      </c>
      <c r="B63" s="6" t="inlineStr">
        <is>
          <t>harvest_recorded.csv</t>
        </is>
      </c>
      <c r="C63" s="6" t="inlineStr">
        <is>
          <t>dirty_seed_mass_g</t>
        </is>
      </c>
      <c r="D63" s="6" t="inlineStr">
        <is>
          <t>Peso de semilla sin limpiar</t>
        </is>
      </c>
      <c r="E63" s="6" t="inlineStr">
        <is>
          <t>number</t>
        </is>
      </c>
      <c r="F63" s="6" t="inlineStr">
        <is>
          <t>g</t>
        </is>
      </c>
      <c r="G63" s="6" t="b">
        <v>0</v>
      </c>
      <c r="H63" s="6" t="inlineStr"/>
    </row>
    <row r="64">
      <c r="A64" s="6" t="inlineStr">
        <is>
          <t>Cosecha registrada</t>
        </is>
      </c>
      <c r="B64" s="6" t="inlineStr">
        <is>
          <t>harvest_recorded.csv</t>
        </is>
      </c>
      <c r="C64" s="6" t="inlineStr">
        <is>
          <t>clean_seed_mass_g</t>
        </is>
      </c>
      <c r="D64" s="6" t="inlineStr">
        <is>
          <t>Peso de semilla limpia</t>
        </is>
      </c>
      <c r="E64" s="6" t="inlineStr">
        <is>
          <t>number</t>
        </is>
      </c>
      <c r="F64" s="6" t="inlineStr">
        <is>
          <t>g</t>
        </is>
      </c>
      <c r="G64" s="6" t="b">
        <v>0</v>
      </c>
      <c r="H64" s="6" t="inlineStr"/>
    </row>
    <row r="65">
      <c r="A65" s="6" t="inlineStr">
        <is>
          <t>Cosecha registrada</t>
        </is>
      </c>
      <c r="B65" s="6" t="inlineStr">
        <is>
          <t>harvest_recorded.csv</t>
        </is>
      </c>
      <c r="C65" s="6" t="inlineStr">
        <is>
          <t>w100_rep1_g</t>
        </is>
      </c>
      <c r="D65" s="6" t="inlineStr">
        <is>
          <t>Peso de 100 semillas - réplica 1</t>
        </is>
      </c>
      <c r="E65" s="6" t="inlineStr">
        <is>
          <t>number</t>
        </is>
      </c>
      <c r="F65" s="6" t="inlineStr">
        <is>
          <t>g</t>
        </is>
      </c>
      <c r="G65" s="6" t="b">
        <v>0</v>
      </c>
      <c r="H65" s="6" t="inlineStr"/>
    </row>
    <row r="66">
      <c r="A66" s="6" t="inlineStr">
        <is>
          <t>Cosecha registrada</t>
        </is>
      </c>
      <c r="B66" s="6" t="inlineStr">
        <is>
          <t>harvest_recorded.csv</t>
        </is>
      </c>
      <c r="C66" s="6" t="inlineStr">
        <is>
          <t>w100_rep2_g</t>
        </is>
      </c>
      <c r="D66" s="6" t="inlineStr">
        <is>
          <t>Peso de 100 semillas - réplica 2</t>
        </is>
      </c>
      <c r="E66" s="6" t="inlineStr">
        <is>
          <t>number</t>
        </is>
      </c>
      <c r="F66" s="6" t="inlineStr">
        <is>
          <t>g</t>
        </is>
      </c>
      <c r="G66" s="6" t="b">
        <v>0</v>
      </c>
      <c r="H66" s="6" t="inlineStr"/>
    </row>
    <row r="67">
      <c r="A67" s="6" t="inlineStr">
        <is>
          <t>Cosecha registrada</t>
        </is>
      </c>
      <c r="B67" s="6" t="inlineStr">
        <is>
          <t>harvest_recorded.csv</t>
        </is>
      </c>
      <c r="C67" s="6" t="inlineStr">
        <is>
          <t>w100_rep3_g</t>
        </is>
      </c>
      <c r="D67" s="6" t="inlineStr">
        <is>
          <t>Peso de 100 semillas - réplica 3</t>
        </is>
      </c>
      <c r="E67" s="6" t="inlineStr">
        <is>
          <t>number</t>
        </is>
      </c>
      <c r="F67" s="6" t="inlineStr">
        <is>
          <t>g</t>
        </is>
      </c>
      <c r="G67" s="6" t="b">
        <v>0</v>
      </c>
      <c r="H67" s="6" t="inlineStr"/>
    </row>
    <row r="68">
      <c r="A68" s="6" t="inlineStr">
        <is>
          <t>Cosecha calculada</t>
        </is>
      </c>
      <c r="B68" s="6" t="inlineStr">
        <is>
          <t>harvest_calculated.csv</t>
        </is>
      </c>
      <c r="C68" s="6" t="inlineStr">
        <is>
          <t>observation_id</t>
        </is>
      </c>
      <c r="D68" s="6" t="inlineStr">
        <is>
          <t>Identificador de observación</t>
        </is>
      </c>
      <c r="E68" s="6" t="inlineStr">
        <is>
          <t>string</t>
        </is>
      </c>
      <c r="F68" s="6" t="n"/>
      <c r="G68" s="6" t="b">
        <v>0</v>
      </c>
      <c r="H68" s="6" t="inlineStr">
        <is>
          <t>harvest_recorded.csv:observation_id</t>
        </is>
      </c>
    </row>
    <row r="69">
      <c r="A69" s="6" t="inlineStr">
        <is>
          <t>Cosecha calculada</t>
        </is>
      </c>
      <c r="B69" s="6" t="inlineStr">
        <is>
          <t>harvest_calculated.csv</t>
        </is>
      </c>
      <c r="C69" s="6" t="inlineStr">
        <is>
          <t>w1000_g</t>
        </is>
      </c>
      <c r="D69" s="6" t="inlineStr">
        <is>
          <t>Peso de mil semillas</t>
        </is>
      </c>
      <c r="E69" s="6" t="inlineStr">
        <is>
          <t>number</t>
        </is>
      </c>
      <c r="F69" s="6" t="inlineStr">
        <is>
          <t>g</t>
        </is>
      </c>
      <c r="G69" s="6" t="b">
        <v>0</v>
      </c>
      <c r="H69" s="6" t="inlineStr"/>
    </row>
    <row r="70">
      <c r="A70" s="6" t="inlineStr">
        <is>
          <t>Cosecha calculada</t>
        </is>
      </c>
      <c r="B70" s="6" t="inlineStr">
        <is>
          <t>harvest_calculated.csv</t>
        </is>
      </c>
      <c r="C70" s="6" t="inlineStr">
        <is>
          <t>panicle_density_m2</t>
        </is>
      </c>
      <c r="D70" s="6" t="inlineStr">
        <is>
          <t>Densidad de panojas</t>
        </is>
      </c>
      <c r="E70" s="6" t="inlineStr">
        <is>
          <t>number</t>
        </is>
      </c>
      <c r="F70" s="6" t="inlineStr">
        <is>
          <t>panojas/m2</t>
        </is>
      </c>
      <c r="G70" s="6" t="b">
        <v>0</v>
      </c>
      <c r="H70" s="6" t="inlineStr"/>
    </row>
    <row r="71">
      <c r="A71" s="6" t="inlineStr">
        <is>
          <t>Cosecha calculada</t>
        </is>
      </c>
      <c r="B71" s="6" t="inlineStr">
        <is>
          <t>harvest_calculated.csv</t>
        </is>
      </c>
      <c r="C71" s="6" t="inlineStr">
        <is>
          <t>dirty_yield_kg_ha</t>
        </is>
      </c>
      <c r="D71" s="6" t="inlineStr">
        <is>
          <t>Rendimiento sin limpiar</t>
        </is>
      </c>
      <c r="E71" s="6" t="inlineStr">
        <is>
          <t>number</t>
        </is>
      </c>
      <c r="F71" s="6" t="inlineStr">
        <is>
          <t>kg/ha</t>
        </is>
      </c>
      <c r="G71" s="6" t="b">
        <v>0</v>
      </c>
      <c r="H71" s="6" t="inlineStr"/>
    </row>
    <row r="72">
      <c r="A72" s="6" t="inlineStr">
        <is>
          <t>Cosecha calculada</t>
        </is>
      </c>
      <c r="B72" s="6" t="inlineStr">
        <is>
          <t>harvest_calculated.csv</t>
        </is>
      </c>
      <c r="C72" s="6" t="inlineStr">
        <is>
          <t>clean_yield_kg_ha</t>
        </is>
      </c>
      <c r="D72" s="6" t="inlineStr">
        <is>
          <t>Rendimiento limpio</t>
        </is>
      </c>
      <c r="E72" s="6" t="inlineStr">
        <is>
          <t>number</t>
        </is>
      </c>
      <c r="F72" s="6" t="inlineStr">
        <is>
          <t>kg/ha</t>
        </is>
      </c>
      <c r="G72" s="6" t="b">
        <v>0</v>
      </c>
      <c r="H72" s="6" t="inlineStr"/>
    </row>
    <row r="73">
      <c r="A73" s="6" t="inlineStr">
        <is>
          <t>Cosecha calculada</t>
        </is>
      </c>
      <c r="B73" s="6" t="inlineStr">
        <is>
          <t>harvest_calculated.csv</t>
        </is>
      </c>
      <c r="C73" s="6" t="inlineStr">
        <is>
          <t>clean_recovery</t>
        </is>
      </c>
      <c r="D73" s="6" t="inlineStr">
        <is>
          <t>Recuperación de limpieza</t>
        </is>
      </c>
      <c r="E73" s="6" t="inlineStr">
        <is>
          <t>number</t>
        </is>
      </c>
      <c r="F73" s="6" t="inlineStr">
        <is>
          <t>proporción</t>
        </is>
      </c>
      <c r="G73" s="6" t="b">
        <v>0</v>
      </c>
      <c r="H73" s="6" t="inlineStr"/>
    </row>
    <row r="74">
      <c r="A74" s="6" t="inlineStr">
        <is>
          <t>Cosecha calculada</t>
        </is>
      </c>
      <c r="B74" s="6" t="inlineStr">
        <is>
          <t>harvest_calculated.csv</t>
        </is>
      </c>
      <c r="C74" s="6" t="inlineStr">
        <is>
          <t>cleaning_loss_pct</t>
        </is>
      </c>
      <c r="D74" s="6" t="inlineStr">
        <is>
          <t>Merma de limpieza</t>
        </is>
      </c>
      <c r="E74" s="6" t="inlineStr">
        <is>
          <t>number</t>
        </is>
      </c>
      <c r="F74" s="6" t="inlineStr">
        <is>
          <t>%</t>
        </is>
      </c>
      <c r="G74" s="6" t="b">
        <v>0</v>
      </c>
      <c r="H74" s="6" t="inlineStr"/>
    </row>
    <row r="75">
      <c r="A75" s="6" t="inlineStr">
        <is>
          <t>Cosecha calculada</t>
        </is>
      </c>
      <c r="B75" s="6" t="inlineStr">
        <is>
          <t>harvest_calculated.csv</t>
        </is>
      </c>
      <c r="C75" s="6" t="inlineStr">
        <is>
          <t>estimated_seed_count</t>
        </is>
      </c>
      <c r="D75" s="6" t="inlineStr">
        <is>
          <t>Número estimado de semillas</t>
        </is>
      </c>
      <c r="E75" s="6" t="inlineStr">
        <is>
          <t>number</t>
        </is>
      </c>
      <c r="F75" s="6" t="inlineStr">
        <is>
          <t>semillas</t>
        </is>
      </c>
      <c r="G75" s="6" t="b">
        <v>0</v>
      </c>
      <c r="H75" s="6" t="inlineStr"/>
    </row>
    <row r="76">
      <c r="A76" s="6" t="inlineStr">
        <is>
          <t>Cosecha calculada</t>
        </is>
      </c>
      <c r="B76" s="6" t="inlineStr">
        <is>
          <t>harvest_calculated.csv</t>
        </is>
      </c>
      <c r="C76" s="6" t="inlineStr">
        <is>
          <t>estimated_seeds_per_panicle</t>
        </is>
      </c>
      <c r="D76" s="6" t="inlineStr">
        <is>
          <t>Semillas estimadas por panoja</t>
        </is>
      </c>
      <c r="E76" s="6" t="inlineStr">
        <is>
          <t>number</t>
        </is>
      </c>
      <c r="F76" s="6" t="inlineStr">
        <is>
          <t>semillas/panoja</t>
        </is>
      </c>
      <c r="G76" s="6" t="b">
        <v>0</v>
      </c>
      <c r="H76" s="6" t="inlineStr"/>
    </row>
    <row r="77">
      <c r="A77" s="6" t="inlineStr">
        <is>
          <t>Cosecha calculada</t>
        </is>
      </c>
      <c r="B77" s="6" t="inlineStr">
        <is>
          <t>harvest_calculated.csv</t>
        </is>
      </c>
      <c r="C77" s="6" t="inlineStr">
        <is>
          <t>harvest_index_pct</t>
        </is>
      </c>
      <c r="D77" s="6" t="inlineStr">
        <is>
          <t>Índice de cosecha</t>
        </is>
      </c>
      <c r="E77" s="6" t="inlineStr">
        <is>
          <t>number</t>
        </is>
      </c>
      <c r="F77" s="6" t="inlineStr">
        <is>
          <t>%</t>
        </is>
      </c>
      <c r="G77" s="6" t="b">
        <v>0</v>
      </c>
      <c r="H77" s="6" t="inlineStr"/>
    </row>
    <row r="78">
      <c r="A78" s="6" t="inlineStr">
        <is>
          <t>Calidad registrada</t>
        </is>
      </c>
      <c r="B78" s="6" t="inlineStr">
        <is>
          <t>quality_recorded.csv</t>
        </is>
      </c>
      <c r="C78" s="6" t="inlineStr">
        <is>
          <t>sample_id</t>
        </is>
      </c>
      <c r="D78" s="6" t="inlineStr">
        <is>
          <t>Muestra</t>
        </is>
      </c>
      <c r="E78" s="6" t="inlineStr">
        <is>
          <t>integer</t>
        </is>
      </c>
      <c r="F78" s="6" t="n"/>
      <c r="G78" s="6" t="b">
        <v>0</v>
      </c>
      <c r="H78" s="6" t="inlineStr">
        <is>
          <t>dry_matter_recorded.csv:sample_id</t>
        </is>
      </c>
    </row>
    <row r="79">
      <c r="A79" s="6" t="inlineStr">
        <is>
          <t>Calidad registrada</t>
        </is>
      </c>
      <c r="B79" s="6" t="inlineStr">
        <is>
          <t>quality_recorded.csv</t>
        </is>
      </c>
      <c r="C79" s="6" t="inlineStr">
        <is>
          <t>date</t>
        </is>
      </c>
      <c r="D79" s="6" t="inlineStr">
        <is>
          <t>Fecha</t>
        </is>
      </c>
      <c r="E79" s="6" t="inlineStr">
        <is>
          <t>date</t>
        </is>
      </c>
      <c r="F79" s="6" t="n"/>
      <c r="G79" s="6" t="b">
        <v>0</v>
      </c>
      <c r="H79" s="6" t="inlineStr"/>
    </row>
    <row r="80">
      <c r="A80" s="6" t="inlineStr">
        <is>
          <t>Calidad registrada</t>
        </is>
      </c>
      <c r="B80" s="6" t="inlineStr">
        <is>
          <t>quality_recorded.csv</t>
        </is>
      </c>
      <c r="C80" s="6" t="inlineStr">
        <is>
          <t>sector</t>
        </is>
      </c>
      <c r="D80" s="6" t="inlineStr">
        <is>
          <t>Sector hídrico</t>
        </is>
      </c>
      <c r="E80" s="6" t="inlineStr">
        <is>
          <t>string</t>
        </is>
      </c>
      <c r="F80" s="6" t="n"/>
      <c r="G80" s="6" t="b">
        <v>0</v>
      </c>
      <c r="H80" s="6" t="inlineStr"/>
    </row>
    <row r="81">
      <c r="A81" s="6" t="inlineStr">
        <is>
          <t>Calidad registrada</t>
        </is>
      </c>
      <c r="B81" s="6" t="inlineStr">
        <is>
          <t>quality_recorded.csv</t>
        </is>
      </c>
      <c r="C81" s="6" t="inlineStr">
        <is>
          <t>treatment</t>
        </is>
      </c>
      <c r="D81" s="6" t="inlineStr">
        <is>
          <t>Tratamiento</t>
        </is>
      </c>
      <c r="E81" s="6" t="inlineStr">
        <is>
          <t>string</t>
        </is>
      </c>
      <c r="F81" s="6" t="n"/>
      <c r="G81" s="6" t="b">
        <v>0</v>
      </c>
      <c r="H81" s="6" t="inlineStr"/>
    </row>
    <row r="82">
      <c r="A82" s="6" t="inlineStr">
        <is>
          <t>Calidad registrada</t>
        </is>
      </c>
      <c r="B82" s="6" t="inlineStr">
        <is>
          <t>quality_recorded.csv</t>
        </is>
      </c>
      <c r="C82" s="6" t="inlineStr">
        <is>
          <t>block</t>
        </is>
      </c>
      <c r="D82" s="6" t="inlineStr">
        <is>
          <t>Bloque</t>
        </is>
      </c>
      <c r="E82" s="6" t="inlineStr">
        <is>
          <t>string</t>
        </is>
      </c>
      <c r="F82" s="6" t="n"/>
      <c r="G82" s="6" t="b">
        <v>0</v>
      </c>
      <c r="H82" s="6" t="inlineStr"/>
    </row>
    <row r="83">
      <c r="A83" s="6" t="inlineStr">
        <is>
          <t>Calidad registrada</t>
        </is>
      </c>
      <c r="B83" s="6" t="inlineStr">
        <is>
          <t>quality_recorded.csv</t>
        </is>
      </c>
      <c r="C83" s="6" t="inlineStr">
        <is>
          <t>lab_registration</t>
        </is>
      </c>
      <c r="D83" s="6" t="inlineStr">
        <is>
          <t>Registro de laboratorio</t>
        </is>
      </c>
      <c r="E83" s="6" t="inlineStr">
        <is>
          <t>integer</t>
        </is>
      </c>
      <c r="F83" s="6" t="n"/>
      <c r="G83" s="6" t="b">
        <v>1</v>
      </c>
      <c r="H83" s="6" t="inlineStr"/>
    </row>
    <row r="84">
      <c r="A84" s="6" t="inlineStr">
        <is>
          <t>Calidad registrada</t>
        </is>
      </c>
      <c r="B84" s="6" t="inlineStr">
        <is>
          <t>quality_recorded.csv</t>
        </is>
      </c>
      <c r="C84" s="6" t="inlineStr">
        <is>
          <t>n_pct</t>
        </is>
      </c>
      <c r="D84" s="6" t="inlineStr">
        <is>
          <t>Nitrógeno medido</t>
        </is>
      </c>
      <c r="E84" s="6" t="inlineStr">
        <is>
          <t>number</t>
        </is>
      </c>
      <c r="F84" s="6" t="inlineStr">
        <is>
          <t>%</t>
        </is>
      </c>
      <c r="G84" s="6" t="b">
        <v>1</v>
      </c>
      <c r="H84" s="6" t="inlineStr"/>
    </row>
    <row r="85">
      <c r="A85" s="6" t="inlineStr">
        <is>
          <t>Calidad registrada</t>
        </is>
      </c>
      <c r="B85" s="6" t="inlineStr">
        <is>
          <t>quality_recorded.csv</t>
        </is>
      </c>
      <c r="C85" s="6" t="inlineStr">
        <is>
          <t>adf_pct</t>
        </is>
      </c>
      <c r="D85" s="6" t="inlineStr">
        <is>
          <t>Fibra detergente ácido medida</t>
        </is>
      </c>
      <c r="E85" s="6" t="inlineStr">
        <is>
          <t>number</t>
        </is>
      </c>
      <c r="F85" s="6" t="inlineStr">
        <is>
          <t>%</t>
        </is>
      </c>
      <c r="G85" s="6" t="b">
        <v>1</v>
      </c>
      <c r="H85" s="6" t="inlineStr"/>
    </row>
    <row r="86">
      <c r="A86" s="6" t="inlineStr">
        <is>
          <t>Calidad registrada</t>
        </is>
      </c>
      <c r="B86" s="6" t="inlineStr">
        <is>
          <t>quality_recorded.csv</t>
        </is>
      </c>
      <c r="C86" s="6" t="inlineStr">
        <is>
          <t>ndf_pct</t>
        </is>
      </c>
      <c r="D86" s="6" t="inlineStr">
        <is>
          <t>Fibra detergente neutro medida</t>
        </is>
      </c>
      <c r="E86" s="6" t="inlineStr">
        <is>
          <t>number</t>
        </is>
      </c>
      <c r="F86" s="6" t="inlineStr">
        <is>
          <t>%</t>
        </is>
      </c>
      <c r="G86" s="6" t="b">
        <v>1</v>
      </c>
      <c r="H86" s="6" t="inlineStr"/>
    </row>
    <row r="87">
      <c r="A87" s="6" t="inlineStr">
        <is>
          <t>Calidad registrada</t>
        </is>
      </c>
      <c r="B87" s="6" t="inlineStr">
        <is>
          <t>quality_recorded.csv</t>
        </is>
      </c>
      <c r="C87" s="6" t="inlineStr">
        <is>
          <t>measurement_status</t>
        </is>
      </c>
      <c r="D87" s="6" t="inlineStr">
        <is>
          <t>Estado de la medición</t>
        </is>
      </c>
      <c r="E87" s="6" t="inlineStr">
        <is>
          <t>string</t>
        </is>
      </c>
      <c r="F87" s="6" t="n"/>
      <c r="G87" s="6" t="b">
        <v>0</v>
      </c>
      <c r="H87" s="6" t="inlineStr"/>
    </row>
    <row r="88">
      <c r="A88" s="6" t="inlineStr">
        <is>
          <t>Calidad registrada</t>
        </is>
      </c>
      <c r="B88" s="6" t="inlineStr">
        <is>
          <t>quality_recorded.csv</t>
        </is>
      </c>
      <c r="C88" s="6" t="inlineStr">
        <is>
          <t>data_origin</t>
        </is>
      </c>
      <c r="D88" s="6" t="inlineStr">
        <is>
          <t>Origen del dato</t>
        </is>
      </c>
      <c r="E88" s="6" t="inlineStr">
        <is>
          <t>string</t>
        </is>
      </c>
      <c r="F88" s="6" t="n"/>
      <c r="G88" s="6" t="b">
        <v>0</v>
      </c>
      <c r="H88" s="6" t="inlineStr"/>
    </row>
    <row r="89">
      <c r="A89" s="6" t="inlineStr">
        <is>
          <t>Calidad calculada</t>
        </is>
      </c>
      <c r="B89" s="6" t="inlineStr">
        <is>
          <t>quality_calculated.csv</t>
        </is>
      </c>
      <c r="C89" s="6" t="inlineStr">
        <is>
          <t>sample_id</t>
        </is>
      </c>
      <c r="D89" s="6" t="inlineStr">
        <is>
          <t>Muestra</t>
        </is>
      </c>
      <c r="E89" s="6" t="inlineStr">
        <is>
          <t>integer</t>
        </is>
      </c>
      <c r="F89" s="6" t="n"/>
      <c r="G89" s="6" t="b">
        <v>0</v>
      </c>
      <c r="H89" s="6" t="inlineStr">
        <is>
          <t>quality_recorded.csv:sample_id</t>
        </is>
      </c>
    </row>
    <row r="90">
      <c r="A90" s="6" t="inlineStr">
        <is>
          <t>Calidad calculada</t>
        </is>
      </c>
      <c r="B90" s="6" t="inlineStr">
        <is>
          <t>quality_calculated.csv</t>
        </is>
      </c>
      <c r="C90" s="6" t="inlineStr">
        <is>
          <t>estimated_n_pct</t>
        </is>
      </c>
      <c r="D90" s="6" t="inlineStr">
        <is>
          <t>Nitrógeno estimado</t>
        </is>
      </c>
      <c r="E90" s="6" t="inlineStr">
        <is>
          <t>number</t>
        </is>
      </c>
      <c r="F90" s="6" t="inlineStr">
        <is>
          <t>%</t>
        </is>
      </c>
      <c r="G90" s="6" t="b">
        <v>1</v>
      </c>
      <c r="H90" s="6" t="inlineStr"/>
    </row>
    <row r="91">
      <c r="A91" s="6" t="inlineStr">
        <is>
          <t>Calidad calculada</t>
        </is>
      </c>
      <c r="B91" s="6" t="inlineStr">
        <is>
          <t>quality_calculated.csv</t>
        </is>
      </c>
      <c r="C91" s="6" t="inlineStr">
        <is>
          <t>estimated_adf_pct</t>
        </is>
      </c>
      <c r="D91" s="6" t="inlineStr">
        <is>
          <t>Fibra detergente ácido estimada</t>
        </is>
      </c>
      <c r="E91" s="6" t="inlineStr">
        <is>
          <t>number</t>
        </is>
      </c>
      <c r="F91" s="6" t="inlineStr">
        <is>
          <t>%</t>
        </is>
      </c>
      <c r="G91" s="6" t="b">
        <v>1</v>
      </c>
      <c r="H91" s="6" t="inlineStr"/>
    </row>
    <row r="92">
      <c r="A92" s="6" t="inlineStr">
        <is>
          <t>Calidad calculada</t>
        </is>
      </c>
      <c r="B92" s="6" t="inlineStr">
        <is>
          <t>quality_calculated.csv</t>
        </is>
      </c>
      <c r="C92" s="6" t="inlineStr">
        <is>
          <t>estimated_ndf_pct</t>
        </is>
      </c>
      <c r="D92" s="6" t="inlineStr">
        <is>
          <t>Fibra detergente neutro estimada</t>
        </is>
      </c>
      <c r="E92" s="6" t="inlineStr">
        <is>
          <t>number</t>
        </is>
      </c>
      <c r="F92" s="6" t="inlineStr">
        <is>
          <t>%</t>
        </is>
      </c>
      <c r="G92" s="6" t="b">
        <v>1</v>
      </c>
      <c r="H92" s="6" t="inlineStr"/>
    </row>
    <row r="93">
      <c r="A93" s="6" t="inlineStr">
        <is>
          <t>Calidad calculada</t>
        </is>
      </c>
      <c r="B93" s="6" t="inlineStr">
        <is>
          <t>quality_calculated.csv</t>
        </is>
      </c>
      <c r="C93" s="6" t="inlineStr">
        <is>
          <t>n_accumulated_kg_ha</t>
        </is>
      </c>
      <c r="D93" s="6" t="inlineStr">
        <is>
          <t>Nitrógeno acumulado</t>
        </is>
      </c>
      <c r="E93" s="6" t="inlineStr">
        <is>
          <t>number</t>
        </is>
      </c>
      <c r="F93" s="6" t="inlineStr">
        <is>
          <t>kg N/ha</t>
        </is>
      </c>
      <c r="G93" s="6" t="b">
        <v>0</v>
      </c>
      <c r="H93" s="6" t="inlineStr"/>
    </row>
    <row r="94">
      <c r="A94" s="6" t="inlineStr">
        <is>
          <t>Calidad calculada</t>
        </is>
      </c>
      <c r="B94" s="6" t="inlineStr">
        <is>
          <t>quality_calculated.csv</t>
        </is>
      </c>
      <c r="C94" s="6" t="inlineStr">
        <is>
          <t>critical_n_pct</t>
        </is>
      </c>
      <c r="D94" s="6" t="inlineStr">
        <is>
          <t>Concentración crítica de nitrógeno</t>
        </is>
      </c>
      <c r="E94" s="6" t="inlineStr">
        <is>
          <t>number</t>
        </is>
      </c>
      <c r="F94" s="6" t="inlineStr">
        <is>
          <t>%</t>
        </is>
      </c>
      <c r="G94" s="6" t="b">
        <v>0</v>
      </c>
      <c r="H94" s="6" t="inlineStr"/>
    </row>
    <row r="95">
      <c r="A95" s="6" t="inlineStr">
        <is>
          <t>Calidad calculada</t>
        </is>
      </c>
      <c r="B95" s="6" t="inlineStr">
        <is>
          <t>quality_calculated.csv</t>
        </is>
      </c>
      <c r="C95" s="6" t="inlineStr">
        <is>
          <t>nni</t>
        </is>
      </c>
      <c r="D95" s="6" t="inlineStr">
        <is>
          <t>Índice de nutrición nitrogenada</t>
        </is>
      </c>
      <c r="E95" s="6" t="inlineStr">
        <is>
          <t>number</t>
        </is>
      </c>
      <c r="F95" s="6" t="inlineStr">
        <is>
          <t>proporción</t>
        </is>
      </c>
      <c r="G95" s="6" t="b">
        <v>0</v>
      </c>
      <c r="H95" s="6" t="inlineStr"/>
    </row>
    <row r="96">
      <c r="A96" s="6" t="inlineStr">
        <is>
          <t>Calidad calculada</t>
        </is>
      </c>
      <c r="B96" s="6" t="inlineStr">
        <is>
          <t>quality_calculated.csv</t>
        </is>
      </c>
      <c r="C96" s="6" t="inlineStr">
        <is>
          <t>calculation_status</t>
        </is>
      </c>
      <c r="D96" s="6" t="inlineStr">
        <is>
          <t>Procedencia del cálculo</t>
        </is>
      </c>
      <c r="E96" s="6" t="inlineStr">
        <is>
          <t>string</t>
        </is>
      </c>
      <c r="F96" s="6" t="n"/>
      <c r="G96" s="6" t="b">
        <v>0</v>
      </c>
      <c r="H96" s="6" t="inlineStr"/>
    </row>
    <row r="97">
      <c r="A97" s="6" t="inlineStr">
        <is>
          <t>Calidad faltante</t>
        </is>
      </c>
      <c r="B97" s="6" t="inlineStr">
        <is>
          <t>missing_quality_estimate.csv</t>
        </is>
      </c>
      <c r="C97" s="6" t="inlineStr">
        <is>
          <t>sample_id</t>
        </is>
      </c>
      <c r="D97" s="6" t="inlineStr">
        <is>
          <t>Muestra</t>
        </is>
      </c>
      <c r="E97" s="6" t="inlineStr">
        <is>
          <t>integer</t>
        </is>
      </c>
      <c r="F97" s="6" t="n"/>
      <c r="G97" s="6" t="b">
        <v>0</v>
      </c>
      <c r="H97" s="6" t="inlineStr">
        <is>
          <t>quality_recorded.csv:sample_id</t>
        </is>
      </c>
    </row>
    <row r="98">
      <c r="A98" s="6" t="inlineStr">
        <is>
          <t>Calidad faltante</t>
        </is>
      </c>
      <c r="B98" s="6" t="inlineStr">
        <is>
          <t>missing_quality_estimate.csv</t>
        </is>
      </c>
      <c r="C98" s="6" t="inlineStr">
        <is>
          <t>date</t>
        </is>
      </c>
      <c r="D98" s="6" t="inlineStr">
        <is>
          <t>Fecha</t>
        </is>
      </c>
      <c r="E98" s="6" t="inlineStr">
        <is>
          <t>date</t>
        </is>
      </c>
      <c r="F98" s="6" t="n"/>
      <c r="G98" s="6" t="b">
        <v>0</v>
      </c>
      <c r="H98" s="6" t="inlineStr"/>
    </row>
    <row r="99">
      <c r="A99" s="6" t="inlineStr">
        <is>
          <t>Calidad faltante</t>
        </is>
      </c>
      <c r="B99" s="6" t="inlineStr">
        <is>
          <t>missing_quality_estimate.csv</t>
        </is>
      </c>
      <c r="C99" s="6" t="inlineStr">
        <is>
          <t>sector</t>
        </is>
      </c>
      <c r="D99" s="6" t="inlineStr">
        <is>
          <t>Sector hídrico</t>
        </is>
      </c>
      <c r="E99" s="6" t="inlineStr">
        <is>
          <t>string</t>
        </is>
      </c>
      <c r="F99" s="6" t="n"/>
      <c r="G99" s="6" t="b">
        <v>0</v>
      </c>
      <c r="H99" s="6" t="inlineStr"/>
    </row>
    <row r="100">
      <c r="A100" s="6" t="inlineStr">
        <is>
          <t>Calidad faltante</t>
        </is>
      </c>
      <c r="B100" s="6" t="inlineStr">
        <is>
          <t>missing_quality_estimate.csv</t>
        </is>
      </c>
      <c r="C100" s="6" t="inlineStr">
        <is>
          <t>treatment</t>
        </is>
      </c>
      <c r="D100" s="6" t="inlineStr">
        <is>
          <t>Tratamiento</t>
        </is>
      </c>
      <c r="E100" s="6" t="inlineStr">
        <is>
          <t>string</t>
        </is>
      </c>
      <c r="F100" s="6" t="n"/>
      <c r="G100" s="6" t="b">
        <v>0</v>
      </c>
      <c r="H100" s="6" t="inlineStr"/>
    </row>
    <row r="101">
      <c r="A101" s="6" t="inlineStr">
        <is>
          <t>Calidad faltante</t>
        </is>
      </c>
      <c r="B101" s="6" t="inlineStr">
        <is>
          <t>missing_quality_estimate.csv</t>
        </is>
      </c>
      <c r="C101" s="6" t="inlineStr">
        <is>
          <t>block</t>
        </is>
      </c>
      <c r="D101" s="6" t="inlineStr">
        <is>
          <t>Bloque</t>
        </is>
      </c>
      <c r="E101" s="6" t="inlineStr">
        <is>
          <t>string</t>
        </is>
      </c>
      <c r="F101" s="6" t="n"/>
      <c r="G101" s="6" t="b">
        <v>0</v>
      </c>
      <c r="H101" s="6" t="inlineStr"/>
    </row>
    <row r="102">
      <c r="A102" s="6" t="inlineStr">
        <is>
          <t>Calidad faltante</t>
        </is>
      </c>
      <c r="B102" s="6" t="inlineStr">
        <is>
          <t>missing_quality_estimate.csv</t>
        </is>
      </c>
      <c r="C102" s="6" t="inlineStr">
        <is>
          <t>biomass_kg_ha</t>
        </is>
      </c>
      <c r="D102" s="6" t="inlineStr">
        <is>
          <t>Biomasa</t>
        </is>
      </c>
      <c r="E102" s="6" t="inlineStr">
        <is>
          <t>number</t>
        </is>
      </c>
      <c r="F102" s="6" t="inlineStr">
        <is>
          <t>kg MS/ha</t>
        </is>
      </c>
      <c r="G102" s="6" t="b">
        <v>0</v>
      </c>
      <c r="H102" s="6" t="inlineStr"/>
    </row>
    <row r="103">
      <c r="A103" s="6" t="inlineStr">
        <is>
          <t>Calidad faltante</t>
        </is>
      </c>
      <c r="B103" s="6" t="inlineStr">
        <is>
          <t>missing_quality_estimate.csv</t>
        </is>
      </c>
      <c r="C103" s="6" t="inlineStr">
        <is>
          <t>treatment_count</t>
        </is>
      </c>
      <c r="D103" s="6" t="inlineStr">
        <is>
          <t>Número de tratamientos</t>
        </is>
      </c>
      <c r="E103" s="6" t="inlineStr">
        <is>
          <t>integer</t>
        </is>
      </c>
      <c r="F103" s="6" t="n"/>
      <c r="G103" s="6" t="b">
        <v>0</v>
      </c>
      <c r="H103" s="6" t="inlineStr"/>
    </row>
    <row r="104">
      <c r="A104" s="6" t="inlineStr">
        <is>
          <t>Calidad faltante</t>
        </is>
      </c>
      <c r="B104" s="6" t="inlineStr">
        <is>
          <t>missing_quality_estimate.csv</t>
        </is>
      </c>
      <c r="C104" s="6" t="inlineStr">
        <is>
          <t>block_count</t>
        </is>
      </c>
      <c r="D104" s="6" t="inlineStr">
        <is>
          <t>Número de bloques</t>
        </is>
      </c>
      <c r="E104" s="6" t="inlineStr">
        <is>
          <t>integer</t>
        </is>
      </c>
      <c r="F104" s="6" t="n"/>
      <c r="G104" s="6" t="b">
        <v>0</v>
      </c>
      <c r="H104" s="6" t="inlineStr"/>
    </row>
    <row r="105">
      <c r="A105" s="6" t="inlineStr">
        <is>
          <t>Calidad faltante</t>
        </is>
      </c>
      <c r="B105" s="6" t="inlineStr">
        <is>
          <t>missing_quality_estimate.csv</t>
        </is>
      </c>
      <c r="C105" s="6" t="inlineStr">
        <is>
          <t>n_block_total</t>
        </is>
      </c>
      <c r="D105" s="6" t="inlineStr">
        <is>
          <t>Total de N del bloque</t>
        </is>
      </c>
      <c r="E105" s="6" t="inlineStr">
        <is>
          <t>number</t>
        </is>
      </c>
      <c r="F105" s="6" t="inlineStr">
        <is>
          <t>%</t>
        </is>
      </c>
      <c r="G105" s="6" t="b">
        <v>0</v>
      </c>
      <c r="H105" s="6" t="inlineStr"/>
    </row>
    <row r="106">
      <c r="A106" s="6" t="inlineStr">
        <is>
          <t>Calidad faltante</t>
        </is>
      </c>
      <c r="B106" s="6" t="inlineStr">
        <is>
          <t>missing_quality_estimate.csv</t>
        </is>
      </c>
      <c r="C106" s="6" t="inlineStr">
        <is>
          <t>n_treatment_total</t>
        </is>
      </c>
      <c r="D106" s="6" t="inlineStr">
        <is>
          <t>Total de N del tratamiento</t>
        </is>
      </c>
      <c r="E106" s="6" t="inlineStr">
        <is>
          <t>number</t>
        </is>
      </c>
      <c r="F106" s="6" t="inlineStr">
        <is>
          <t>%</t>
        </is>
      </c>
      <c r="G106" s="6" t="b">
        <v>0</v>
      </c>
      <c r="H106" s="6" t="inlineStr"/>
    </row>
    <row r="107">
      <c r="A107" s="6" t="inlineStr">
        <is>
          <t>Calidad faltante</t>
        </is>
      </c>
      <c r="B107" s="6" t="inlineStr">
        <is>
          <t>missing_quality_estimate.csv</t>
        </is>
      </c>
      <c r="C107" s="6" t="inlineStr">
        <is>
          <t>n_grand_total</t>
        </is>
      </c>
      <c r="D107" s="6" t="inlineStr">
        <is>
          <t>Total general de N</t>
        </is>
      </c>
      <c r="E107" s="6" t="inlineStr">
        <is>
          <t>number</t>
        </is>
      </c>
      <c r="F107" s="6" t="inlineStr">
        <is>
          <t>%</t>
        </is>
      </c>
      <c r="G107" s="6" t="b">
        <v>0</v>
      </c>
      <c r="H107" s="6" t="inlineStr"/>
    </row>
    <row r="108">
      <c r="A108" s="6" t="inlineStr">
        <is>
          <t>Calidad faltante</t>
        </is>
      </c>
      <c r="B108" s="6" t="inlineStr">
        <is>
          <t>missing_quality_estimate.csv</t>
        </is>
      </c>
      <c r="C108" s="6" t="inlineStr">
        <is>
          <t>n_pct_estimated</t>
        </is>
      </c>
      <c r="D108" s="6" t="inlineStr">
        <is>
          <t>Nitrógeno estimado</t>
        </is>
      </c>
      <c r="E108" s="6" t="inlineStr">
        <is>
          <t>number</t>
        </is>
      </c>
      <c r="F108" s="6" t="inlineStr">
        <is>
          <t>%</t>
        </is>
      </c>
      <c r="G108" s="6" t="b">
        <v>0</v>
      </c>
      <c r="H108" s="6" t="inlineStr"/>
    </row>
    <row r="109">
      <c r="A109" s="6" t="inlineStr">
        <is>
          <t>Calidad faltante</t>
        </is>
      </c>
      <c r="B109" s="6" t="inlineStr">
        <is>
          <t>missing_quality_estimate.csv</t>
        </is>
      </c>
      <c r="C109" s="6" t="inlineStr">
        <is>
          <t>adf_block_total</t>
        </is>
      </c>
      <c r="D109" s="6" t="inlineStr">
        <is>
          <t>Total de FDA del bloque</t>
        </is>
      </c>
      <c r="E109" s="6" t="inlineStr">
        <is>
          <t>number</t>
        </is>
      </c>
      <c r="F109" s="6" t="inlineStr">
        <is>
          <t>%</t>
        </is>
      </c>
      <c r="G109" s="6" t="b">
        <v>0</v>
      </c>
      <c r="H109" s="6" t="inlineStr"/>
    </row>
    <row r="110">
      <c r="A110" s="6" t="inlineStr">
        <is>
          <t>Calidad faltante</t>
        </is>
      </c>
      <c r="B110" s="6" t="inlineStr">
        <is>
          <t>missing_quality_estimate.csv</t>
        </is>
      </c>
      <c r="C110" s="6" t="inlineStr">
        <is>
          <t>adf_treatment_total</t>
        </is>
      </c>
      <c r="D110" s="6" t="inlineStr">
        <is>
          <t>Total de FDA del tratamiento</t>
        </is>
      </c>
      <c r="E110" s="6" t="inlineStr">
        <is>
          <t>number</t>
        </is>
      </c>
      <c r="F110" s="6" t="inlineStr">
        <is>
          <t>%</t>
        </is>
      </c>
      <c r="G110" s="6" t="b">
        <v>0</v>
      </c>
      <c r="H110" s="6" t="inlineStr"/>
    </row>
    <row r="111">
      <c r="A111" s="6" t="inlineStr">
        <is>
          <t>Calidad faltante</t>
        </is>
      </c>
      <c r="B111" s="6" t="inlineStr">
        <is>
          <t>missing_quality_estimate.csv</t>
        </is>
      </c>
      <c r="C111" s="6" t="inlineStr">
        <is>
          <t>adf_grand_total</t>
        </is>
      </c>
      <c r="D111" s="6" t="inlineStr">
        <is>
          <t>Total general de FDA</t>
        </is>
      </c>
      <c r="E111" s="6" t="inlineStr">
        <is>
          <t>number</t>
        </is>
      </c>
      <c r="F111" s="6" t="inlineStr">
        <is>
          <t>%</t>
        </is>
      </c>
      <c r="G111" s="6" t="b">
        <v>0</v>
      </c>
      <c r="H111" s="6" t="inlineStr"/>
    </row>
    <row r="112">
      <c r="A112" s="6" t="inlineStr">
        <is>
          <t>Calidad faltante</t>
        </is>
      </c>
      <c r="B112" s="6" t="inlineStr">
        <is>
          <t>missing_quality_estimate.csv</t>
        </is>
      </c>
      <c r="C112" s="6" t="inlineStr">
        <is>
          <t>adf_pct_estimated</t>
        </is>
      </c>
      <c r="D112" s="6" t="inlineStr">
        <is>
          <t>FDA estimada</t>
        </is>
      </c>
      <c r="E112" s="6" t="inlineStr">
        <is>
          <t>number</t>
        </is>
      </c>
      <c r="F112" s="6" t="inlineStr">
        <is>
          <t>%</t>
        </is>
      </c>
      <c r="G112" s="6" t="b">
        <v>0</v>
      </c>
      <c r="H112" s="6" t="inlineStr"/>
    </row>
    <row r="113">
      <c r="A113" s="6" t="inlineStr">
        <is>
          <t>Calidad faltante</t>
        </is>
      </c>
      <c r="B113" s="6" t="inlineStr">
        <is>
          <t>missing_quality_estimate.csv</t>
        </is>
      </c>
      <c r="C113" s="6" t="inlineStr">
        <is>
          <t>ndf_block_total</t>
        </is>
      </c>
      <c r="D113" s="6" t="inlineStr">
        <is>
          <t>Total de FDN del bloque</t>
        </is>
      </c>
      <c r="E113" s="6" t="inlineStr">
        <is>
          <t>number</t>
        </is>
      </c>
      <c r="F113" s="6" t="inlineStr">
        <is>
          <t>%</t>
        </is>
      </c>
      <c r="G113" s="6" t="b">
        <v>0</v>
      </c>
      <c r="H113" s="6" t="inlineStr"/>
    </row>
    <row r="114">
      <c r="A114" s="6" t="inlineStr">
        <is>
          <t>Calidad faltante</t>
        </is>
      </c>
      <c r="B114" s="6" t="inlineStr">
        <is>
          <t>missing_quality_estimate.csv</t>
        </is>
      </c>
      <c r="C114" s="6" t="inlineStr">
        <is>
          <t>ndf_treatment_total</t>
        </is>
      </c>
      <c r="D114" s="6" t="inlineStr">
        <is>
          <t>Total de FDN del tratamiento</t>
        </is>
      </c>
      <c r="E114" s="6" t="inlineStr">
        <is>
          <t>number</t>
        </is>
      </c>
      <c r="F114" s="6" t="inlineStr">
        <is>
          <t>%</t>
        </is>
      </c>
      <c r="G114" s="6" t="b">
        <v>0</v>
      </c>
      <c r="H114" s="6" t="inlineStr"/>
    </row>
    <row r="115">
      <c r="A115" s="6" t="inlineStr">
        <is>
          <t>Calidad faltante</t>
        </is>
      </c>
      <c r="B115" s="6" t="inlineStr">
        <is>
          <t>missing_quality_estimate.csv</t>
        </is>
      </c>
      <c r="C115" s="6" t="inlineStr">
        <is>
          <t>ndf_grand_total</t>
        </is>
      </c>
      <c r="D115" s="6" t="inlineStr">
        <is>
          <t>Total general de FDN</t>
        </is>
      </c>
      <c r="E115" s="6" t="inlineStr">
        <is>
          <t>number</t>
        </is>
      </c>
      <c r="F115" s="6" t="inlineStr">
        <is>
          <t>%</t>
        </is>
      </c>
      <c r="G115" s="6" t="b">
        <v>0</v>
      </c>
      <c r="H115" s="6" t="inlineStr"/>
    </row>
    <row r="116">
      <c r="A116" s="6" t="inlineStr">
        <is>
          <t>Calidad faltante</t>
        </is>
      </c>
      <c r="B116" s="6" t="inlineStr">
        <is>
          <t>missing_quality_estimate.csv</t>
        </is>
      </c>
      <c r="C116" s="6" t="inlineStr">
        <is>
          <t>ndf_pct_estimated</t>
        </is>
      </c>
      <c r="D116" s="6" t="inlineStr">
        <is>
          <t>FDN estimada</t>
        </is>
      </c>
      <c r="E116" s="6" t="inlineStr">
        <is>
          <t>number</t>
        </is>
      </c>
      <c r="F116" s="6" t="inlineStr">
        <is>
          <t>%</t>
        </is>
      </c>
      <c r="G116" s="6" t="b">
        <v>0</v>
      </c>
      <c r="H116" s="6" t="inlineStr"/>
    </row>
    <row r="117">
      <c r="A117" s="6" t="inlineStr">
        <is>
          <t>Calidad faltante</t>
        </is>
      </c>
      <c r="B117" s="6" t="inlineStr">
        <is>
          <t>missing_quality_estimate.csv</t>
        </is>
      </c>
      <c r="C117" s="6" t="inlineStr">
        <is>
          <t>n_accumulated_kg_ha</t>
        </is>
      </c>
      <c r="D117" s="6" t="inlineStr">
        <is>
          <t>Nitrógeno acumulado estimado</t>
        </is>
      </c>
      <c r="E117" s="6" t="inlineStr">
        <is>
          <t>number</t>
        </is>
      </c>
      <c r="F117" s="6" t="inlineStr">
        <is>
          <t>kg N/ha</t>
        </is>
      </c>
      <c r="G117" s="6" t="b">
        <v>0</v>
      </c>
      <c r="H117" s="6" t="inlineStr"/>
    </row>
    <row r="118">
      <c r="A118" s="6" t="inlineStr">
        <is>
          <t>Calidad faltante</t>
        </is>
      </c>
      <c r="B118" s="6" t="inlineStr">
        <is>
          <t>missing_quality_estimate.csv</t>
        </is>
      </c>
      <c r="C118" s="6" t="inlineStr">
        <is>
          <t>critical_n_pct</t>
        </is>
      </c>
      <c r="D118" s="6" t="inlineStr">
        <is>
          <t>Concentración crítica de nitrógeno</t>
        </is>
      </c>
      <c r="E118" s="6" t="inlineStr">
        <is>
          <t>number</t>
        </is>
      </c>
      <c r="F118" s="6" t="inlineStr">
        <is>
          <t>%</t>
        </is>
      </c>
      <c r="G118" s="6" t="b">
        <v>0</v>
      </c>
      <c r="H118" s="6" t="inlineStr"/>
    </row>
    <row r="119">
      <c r="A119" s="6" t="inlineStr">
        <is>
          <t>Calidad faltante</t>
        </is>
      </c>
      <c r="B119" s="6" t="inlineStr">
        <is>
          <t>missing_quality_estimate.csv</t>
        </is>
      </c>
      <c r="C119" s="6" t="inlineStr">
        <is>
          <t>nni</t>
        </is>
      </c>
      <c r="D119" s="6" t="inlineStr">
        <is>
          <t>Índice de nutrición nitrogenada</t>
        </is>
      </c>
      <c r="E119" s="6" t="inlineStr">
        <is>
          <t>number</t>
        </is>
      </c>
      <c r="F119" s="6" t="inlineStr">
        <is>
          <t>proporción</t>
        </is>
      </c>
      <c r="G119" s="6" t="b">
        <v>0</v>
      </c>
      <c r="H119" s="6" t="inlineStr"/>
    </row>
    <row r="120">
      <c r="A120" s="6" t="inlineStr">
        <is>
          <t>Cosecha calculada</t>
        </is>
      </c>
      <c r="B120" s="6" t="inlineStr">
        <is>
          <t>vista_calculada</t>
        </is>
      </c>
      <c r="C120" s="6" t="inlineStr">
        <is>
          <t>final_biomass_kg_ha</t>
        </is>
      </c>
      <c r="D120" s="6" t="inlineStr">
        <is>
          <t>Biomasa final enlazada</t>
        </is>
      </c>
      <c r="E120" s="6" t="inlineStr">
        <is>
          <t>number</t>
        </is>
      </c>
      <c r="F120" s="6" t="inlineStr">
        <is>
          <t>kg MS/ha</t>
        </is>
      </c>
      <c r="G120" s="6" t="b">
        <v>0</v>
      </c>
      <c r="H120" s="6" t="inlineStr">
        <is>
          <t>Derivada mediante búsqueda entre tablas</t>
        </is>
      </c>
    </row>
    <row r="121">
      <c r="A121" s="6" t="inlineStr">
        <is>
          <t>Calidad calculada</t>
        </is>
      </c>
      <c r="B121" s="6" t="inlineStr">
        <is>
          <t>vista_calculada</t>
        </is>
      </c>
      <c r="C121" s="6" t="inlineStr">
        <is>
          <t>biomass_reported_kg_ha</t>
        </is>
      </c>
      <c r="D121" s="6" t="inlineStr">
        <is>
          <t>Biomasa informada enlazada</t>
        </is>
      </c>
      <c r="E121" s="6" t="inlineStr">
        <is>
          <t>number</t>
        </is>
      </c>
      <c r="F121" s="6" t="inlineStr">
        <is>
          <t>kg MS/ha</t>
        </is>
      </c>
      <c r="G121" s="6" t="b">
        <v>0</v>
      </c>
      <c r="H121" s="6" t="inlineStr">
        <is>
          <t>Derivada mediante búsqueda entre tablas</t>
        </is>
      </c>
    </row>
    <row r="122">
      <c r="A122" s="6" t="inlineStr">
        <is>
          <t>Calidad calculada</t>
        </is>
      </c>
      <c r="B122" s="6" t="inlineStr">
        <is>
          <t>vista_calculada</t>
        </is>
      </c>
      <c r="C122" s="6" t="inlineStr">
        <is>
          <t>effective_n_pct</t>
        </is>
      </c>
      <c r="D122" s="6" t="inlineStr">
        <is>
          <t>Nitrógeno efectivo</t>
        </is>
      </c>
      <c r="E122" s="6" t="inlineStr">
        <is>
          <t>number</t>
        </is>
      </c>
      <c r="F122" s="6" t="inlineStr">
        <is>
          <t>%</t>
        </is>
      </c>
      <c r="G122" s="6" t="b">
        <v>0</v>
      </c>
      <c r="H122" s="6" t="inlineStr">
        <is>
          <t>Derivada mediante búsqueda entre tablas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9" customWidth="1" min="2" max="2"/>
    <col width="34" customWidth="1" min="3" max="3"/>
    <col width="30" customWidth="1" min="4" max="4"/>
    <col width="40" customWidth="1" min="5" max="5"/>
    <col width="42" customWidth="1" min="6" max="6"/>
    <col width="42" customWidth="1" min="7" max="7"/>
    <col width="19" customWidth="1" min="8" max="8"/>
    <col width="42" customWidth="1" min="9" max="9"/>
  </cols>
  <sheetData>
    <row r="1" ht="25" customHeight="1">
      <c r="A1" s="1" t="inlineStr">
        <is>
          <t>Fórmulas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1" customHeight="1">
      <c r="A2" s="3" t="inlineStr">
        <is>
          <t>Documentación generada desde manifest.json y formulas.json; SHA-256 del conjunto: 3c8bd7648466910434220d48b656dc6d310b33d19f026fa6bf57cdfc89fbd4dd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38" customHeight="1">
      <c r="A4" s="5" t="inlineStr">
        <is>
          <t>Orden</t>
        </is>
      </c>
      <c r="B4" s="5" t="inlineStr">
        <is>
          <t>Etapa</t>
        </is>
      </c>
      <c r="C4" s="5" t="inlineStr">
        <is>
          <t>Identificador</t>
        </is>
      </c>
      <c r="D4" s="5" t="inlineStr">
        <is>
          <t>CSV de salida</t>
        </is>
      </c>
      <c r="E4" s="5" t="inlineStr">
        <is>
          <t>Columna de salida</t>
        </is>
      </c>
      <c r="F4" s="5" t="inlineStr">
        <is>
          <t>Entradas</t>
        </is>
      </c>
      <c r="G4" s="5" t="inlineStr">
        <is>
          <t>Expresión semántica</t>
        </is>
      </c>
      <c r="H4" s="5" t="inlineStr">
        <is>
          <t>Unidad</t>
        </is>
      </c>
      <c r="I4" s="5" t="inlineStr">
        <is>
          <t>Plantilla Excel</t>
        </is>
      </c>
    </row>
    <row r="5">
      <c r="A5" s="6" t="n">
        <v>1</v>
      </c>
      <c r="B5" s="6" t="inlineStr">
        <is>
          <t>2. dry_matter_calculations</t>
        </is>
      </c>
      <c r="C5" s="6" t="inlineStr">
        <is>
          <t>dry_matter_pct_from_weights</t>
        </is>
      </c>
      <c r="D5" s="6" t="inlineStr">
        <is>
          <t>dry_matter_calculated.csv</t>
        </is>
      </c>
      <c r="E5" s="6" t="inlineStr">
        <is>
          <t>dry_matter_pct_from_weights</t>
        </is>
      </c>
      <c r="F5" s="6" t="inlineStr">
        <is>
          <t>dry_weight_g, green_weight_sample_g</t>
        </is>
      </c>
      <c r="G5" s="6" t="inlineStr">
        <is>
          <t>100 * dry_weight_g / green_weight_sample_g</t>
        </is>
      </c>
      <c r="H5" s="6" t="inlineStr">
        <is>
          <t>%</t>
        </is>
      </c>
      <c r="I5" s="6" t="inlineStr">
        <is>
          <t>=100*[@dry_weight_g]/[@green_weight_sample_g]</t>
        </is>
      </c>
    </row>
    <row r="6">
      <c r="A6" s="6" t="n">
        <v>2</v>
      </c>
      <c r="B6" s="6" t="inlineStr">
        <is>
          <t>2. dry_matter_calculations</t>
        </is>
      </c>
      <c r="C6" s="6" t="inlineStr">
        <is>
          <t>dry_matter_abs_difference_pp</t>
        </is>
      </c>
      <c r="D6" s="6" t="inlineStr">
        <is>
          <t>dry_matter_calculated.csv</t>
        </is>
      </c>
      <c r="E6" s="6" t="inlineStr">
        <is>
          <t>dry_matter_abs_difference_pp</t>
        </is>
      </c>
      <c r="F6" s="6" t="inlineStr">
        <is>
          <t>dry_matter_pct, dry_matter_pct_from_weights</t>
        </is>
      </c>
      <c r="G6" s="6" t="inlineStr">
        <is>
          <t>abs(dry_matter_pct - dry_matter_pct_from_weights)</t>
        </is>
      </c>
      <c r="H6" s="6" t="inlineStr">
        <is>
          <t>percentage points</t>
        </is>
      </c>
      <c r="I6" s="6" t="inlineStr">
        <is>
          <t>=ABS([@dry_matter_pct]-[@dry_matter_pct_from_weights])</t>
        </is>
      </c>
    </row>
    <row r="7">
      <c r="A7" s="6" t="n">
        <v>3</v>
      </c>
      <c r="B7" s="6" t="inlineStr">
        <is>
          <t>2. dry_matter_calculations</t>
        </is>
      </c>
      <c r="C7" s="6" t="inlineStr">
        <is>
          <t>dry_matter_relative_difference</t>
        </is>
      </c>
      <c r="D7" s="6" t="inlineStr">
        <is>
          <t>dry_matter_calculated.csv</t>
        </is>
      </c>
      <c r="E7" s="6" t="inlineStr">
        <is>
          <t>dry_matter_relative_difference</t>
        </is>
      </c>
      <c r="F7" s="6" t="inlineStr">
        <is>
          <t>dry_matter_abs_difference_pp, dry_matter_pct</t>
        </is>
      </c>
      <c r="G7" s="6" t="inlineStr">
        <is>
          <t>dry_matter_abs_difference_pp / abs(dry_matter_pct)</t>
        </is>
      </c>
      <c r="H7" s="6" t="inlineStr">
        <is>
          <t>ratio</t>
        </is>
      </c>
      <c r="I7" s="6" t="inlineStr">
        <is>
          <t>=[@dry_matter_abs_difference_pp]/ABS([@dry_matter_pct])</t>
        </is>
      </c>
    </row>
    <row r="8">
      <c r="A8" s="6" t="n">
        <v>4</v>
      </c>
      <c r="B8" s="6" t="inlineStr">
        <is>
          <t>2. dry_matter_calculations</t>
        </is>
      </c>
      <c r="C8" s="6" t="inlineStr">
        <is>
          <t>dry_matter_issue</t>
        </is>
      </c>
      <c r="D8" s="6" t="inlineStr">
        <is>
          <t>dry_matter_calculated.csv</t>
        </is>
      </c>
      <c r="E8" s="6" t="inlineStr">
        <is>
          <t>dry_matter_issue</t>
        </is>
      </c>
      <c r="F8" s="6" t="inlineStr">
        <is>
          <t>dry_matter_abs_difference_pp, dry_matter_relative_difference</t>
        </is>
      </c>
      <c r="G8" s="6" t="inlineStr">
        <is>
          <t>dry_matter_abs_difference_pp &gt;= 5 and dry_matter_relative_difference &gt;= 0.20</t>
        </is>
      </c>
      <c r="H8" s="6" t="n"/>
      <c r="I8" s="6" t="inlineStr">
        <is>
          <t>=AND([@dry_matter_abs_difference_pp]&gt;=5,[@dry_matter_relative_difference]&gt;=0.20)</t>
        </is>
      </c>
    </row>
    <row r="9">
      <c r="A9" s="6" t="n">
        <v>5</v>
      </c>
      <c r="B9" s="6" t="inlineStr">
        <is>
          <t>2. dry_matter_calculations</t>
        </is>
      </c>
      <c r="C9" s="6" t="inlineStr">
        <is>
          <t>biomass_recorded_dm</t>
        </is>
      </c>
      <c r="D9" s="6" t="inlineStr">
        <is>
          <t>dry_matter_calculated.csv</t>
        </is>
      </c>
      <c r="E9" s="6" t="inlineStr">
        <is>
          <t>biomass_recorded_dm_kg_ha</t>
        </is>
      </c>
      <c r="F9" s="6" t="inlineStr">
        <is>
          <t>green_weight_1m_g, dry_matter_pct, biomass_sample_area_m2</t>
        </is>
      </c>
      <c r="G9" s="6" t="inlineStr">
        <is>
          <t>green_weight_1m_g * (dry_matter_pct / 100) * 10 / biomass_sample_area_m2</t>
        </is>
      </c>
      <c r="H9" s="6" t="inlineStr">
        <is>
          <t>kg DM/ha</t>
        </is>
      </c>
      <c r="I9" s="6" t="inlineStr">
        <is>
          <t>=[@green_weight_1m_g]*([@dry_matter_pct]/100)*10/biomass_sample_area_m2</t>
        </is>
      </c>
    </row>
    <row r="10">
      <c r="A10" s="6" t="n">
        <v>6</v>
      </c>
      <c r="B10" s="6" t="inlineStr">
        <is>
          <t>2. dry_matter_calculations</t>
        </is>
      </c>
      <c r="C10" s="6" t="inlineStr">
        <is>
          <t>biomass_ratio_dm</t>
        </is>
      </c>
      <c r="D10" s="6" t="inlineStr">
        <is>
          <t>dry_matter_calculated.csv</t>
        </is>
      </c>
      <c r="E10" s="6" t="inlineStr">
        <is>
          <t>biomass_ratio_dm_kg_ha</t>
        </is>
      </c>
      <c r="F10" s="6" t="inlineStr">
        <is>
          <t>green_weight_1m_g, dry_matter_pct_from_weights, biomass_sample_area_m2</t>
        </is>
      </c>
      <c r="G10" s="6" t="inlineStr">
        <is>
          <t>green_weight_1m_g * (dry_matter_pct_from_weights / 100) * 10 / biomass_sample_area_m2</t>
        </is>
      </c>
      <c r="H10" s="6" t="inlineStr">
        <is>
          <t>kg DM/ha</t>
        </is>
      </c>
      <c r="I10" s="6" t="inlineStr">
        <is>
          <t>=[@green_weight_1m_g]*([@dry_matter_pct_from_weights]/100)*10/biomass_sample_area_m2</t>
        </is>
      </c>
    </row>
    <row r="11">
      <c r="A11" s="6" t="n">
        <v>7</v>
      </c>
      <c r="B11" s="6" t="inlineStr">
        <is>
          <t>2. dry_matter_calculations</t>
        </is>
      </c>
      <c r="C11" s="6" t="inlineStr">
        <is>
          <t>biomass_recalculation_difference</t>
        </is>
      </c>
      <c r="D11" s="6" t="inlineStr">
        <is>
          <t>dry_matter_calculated.csv</t>
        </is>
      </c>
      <c r="E11" s="6" t="inlineStr">
        <is>
          <t>biomass_recalculation_difference_kg_ha</t>
        </is>
      </c>
      <c r="F11" s="6" t="inlineStr">
        <is>
          <t>biomass_recorded_dm_kg_ha, biomass_reported_kg_ha</t>
        </is>
      </c>
      <c r="G11" s="6" t="inlineStr">
        <is>
          <t>biomass_recorded_dm_kg_ha - biomass_reported_kg_ha</t>
        </is>
      </c>
      <c r="H11" s="6" t="inlineStr">
        <is>
          <t>kg DM/ha</t>
        </is>
      </c>
      <c r="I11" s="6" t="inlineStr">
        <is>
          <t>=[@biomass_recorded_dm_kg_ha]-[@biomass_reported_kg_ha]</t>
        </is>
      </c>
    </row>
    <row r="12">
      <c r="A12" s="6" t="n">
        <v>8</v>
      </c>
      <c r="B12" s="6" t="inlineStr">
        <is>
          <t>2. dry_matter_calculations</t>
        </is>
      </c>
      <c r="C12" s="6" t="inlineStr">
        <is>
          <t>tiller_density</t>
        </is>
      </c>
      <c r="D12" s="6" t="inlineStr">
        <is>
          <t>dry_matter_calculated.csv</t>
        </is>
      </c>
      <c r="E12" s="6" t="inlineStr">
        <is>
          <t>tiller_density_m2</t>
        </is>
      </c>
      <c r="F12" s="6" t="inlineStr">
        <is>
          <t>tillers_30_cm, row_spacing_cm</t>
        </is>
      </c>
      <c r="G12" s="6" t="inlineStr">
        <is>
          <t>tillers_30_cm * (100 / 30) * (100 / row_spacing_cm)</t>
        </is>
      </c>
      <c r="H12" s="6" t="inlineStr">
        <is>
          <t>tillers/m2</t>
        </is>
      </c>
      <c r="I12" s="6" t="inlineStr">
        <is>
          <t>=[@tillers_30_cm]*(100/30)*(100/row_spacing_cm)</t>
        </is>
      </c>
    </row>
    <row r="13">
      <c r="A13" s="6" t="n">
        <v>9</v>
      </c>
      <c r="B13" s="6" t="inlineStr">
        <is>
          <t>5. harvest_calculations</t>
        </is>
      </c>
      <c r="C13" s="6" t="inlineStr">
        <is>
          <t>thousand_seed_weight</t>
        </is>
      </c>
      <c r="D13" s="6" t="inlineStr">
        <is>
          <t>harvest_calculated.csv</t>
        </is>
      </c>
      <c r="E13" s="6" t="inlineStr">
        <is>
          <t>w1000_g</t>
        </is>
      </c>
      <c r="F13" s="6" t="inlineStr">
        <is>
          <t>w100_rep1_g, w100_rep2_g, w100_rep3_g</t>
        </is>
      </c>
      <c r="G13" s="6" t="inlineStr">
        <is>
          <t>mean(w100_rep1_g, w100_rep2_g, w100_rep3_g) * 10</t>
        </is>
      </c>
      <c r="H13" s="6" t="inlineStr">
        <is>
          <t>g</t>
        </is>
      </c>
      <c r="I13" s="6" t="inlineStr">
        <is>
          <t>=AVERAGE([@w100_rep1_g]:[@w100_rep3_g])*10</t>
        </is>
      </c>
    </row>
    <row r="14">
      <c r="A14" s="6" t="n">
        <v>10</v>
      </c>
      <c r="B14" s="6" t="inlineStr">
        <is>
          <t>5. harvest_calculations</t>
        </is>
      </c>
      <c r="C14" s="6" t="inlineStr">
        <is>
          <t>panicle_density</t>
        </is>
      </c>
      <c r="D14" s="6" t="inlineStr">
        <is>
          <t>harvest_calculated.csv</t>
        </is>
      </c>
      <c r="E14" s="6" t="inlineStr">
        <is>
          <t>panicle_density_m2</t>
        </is>
      </c>
      <c r="F14" s="6" t="inlineStr">
        <is>
          <t>panicle_count, harvest_sample_area_m2</t>
        </is>
      </c>
      <c r="G14" s="6" t="inlineStr">
        <is>
          <t>panicle_count / harvest_sample_area_m2</t>
        </is>
      </c>
      <c r="H14" s="6" t="inlineStr">
        <is>
          <t>panicles/m2</t>
        </is>
      </c>
      <c r="I14" s="6" t="inlineStr">
        <is>
          <t>=[@panicle_count]/harvest_sample_area_m2</t>
        </is>
      </c>
    </row>
    <row r="15">
      <c r="A15" s="6" t="n">
        <v>11</v>
      </c>
      <c r="B15" s="6" t="inlineStr">
        <is>
          <t>5. harvest_calculations</t>
        </is>
      </c>
      <c r="C15" s="6" t="inlineStr">
        <is>
          <t>dirty_yield</t>
        </is>
      </c>
      <c r="D15" s="6" t="inlineStr">
        <is>
          <t>harvest_calculated.csv</t>
        </is>
      </c>
      <c r="E15" s="6" t="inlineStr">
        <is>
          <t>dirty_yield_kg_ha</t>
        </is>
      </c>
      <c r="F15" s="6" t="inlineStr">
        <is>
          <t>dirty_seed_mass_g, harvest_sample_area_m2</t>
        </is>
      </c>
      <c r="G15" s="6" t="inlineStr">
        <is>
          <t>dirty_seed_mass_g * 10 / harvest_sample_area_m2</t>
        </is>
      </c>
      <c r="H15" s="6" t="inlineStr">
        <is>
          <t>kg/ha</t>
        </is>
      </c>
      <c r="I15" s="6" t="inlineStr">
        <is>
          <t>=[@dirty_seed_mass_g]*10/harvest_sample_area_m2</t>
        </is>
      </c>
    </row>
    <row r="16">
      <c r="A16" s="6" t="n">
        <v>12</v>
      </c>
      <c r="B16" s="6" t="inlineStr">
        <is>
          <t>5. harvest_calculations</t>
        </is>
      </c>
      <c r="C16" s="6" t="inlineStr">
        <is>
          <t>clean_yield</t>
        </is>
      </c>
      <c r="D16" s="6" t="inlineStr">
        <is>
          <t>harvest_calculated.csv</t>
        </is>
      </c>
      <c r="E16" s="6" t="inlineStr">
        <is>
          <t>clean_yield_kg_ha</t>
        </is>
      </c>
      <c r="F16" s="6" t="inlineStr">
        <is>
          <t>clean_seed_mass_g, harvest_sample_area_m2</t>
        </is>
      </c>
      <c r="G16" s="6" t="inlineStr">
        <is>
          <t>clean_seed_mass_g * 10 / harvest_sample_area_m2</t>
        </is>
      </c>
      <c r="H16" s="6" t="inlineStr">
        <is>
          <t>kg/ha</t>
        </is>
      </c>
      <c r="I16" s="6" t="inlineStr">
        <is>
          <t>=[@clean_seed_mass_g]*10/harvest_sample_area_m2</t>
        </is>
      </c>
    </row>
    <row r="17">
      <c r="A17" s="6" t="n">
        <v>13</v>
      </c>
      <c r="B17" s="6" t="inlineStr">
        <is>
          <t>5. harvest_calculations</t>
        </is>
      </c>
      <c r="C17" s="6" t="inlineStr">
        <is>
          <t>clean_recovery</t>
        </is>
      </c>
      <c r="D17" s="6" t="inlineStr">
        <is>
          <t>harvest_calculated.csv</t>
        </is>
      </c>
      <c r="E17" s="6" t="inlineStr">
        <is>
          <t>clean_recovery</t>
        </is>
      </c>
      <c r="F17" s="6" t="inlineStr">
        <is>
          <t>clean_seed_mass_g, dirty_seed_mass_g</t>
        </is>
      </c>
      <c r="G17" s="6" t="inlineStr">
        <is>
          <t>clean_seed_mass_g / dirty_seed_mass_g</t>
        </is>
      </c>
      <c r="H17" s="6" t="inlineStr">
        <is>
          <t>ratio</t>
        </is>
      </c>
      <c r="I17" s="6" t="inlineStr">
        <is>
          <t>=[@clean_seed_mass_g]/[@dirty_seed_mass_g]</t>
        </is>
      </c>
    </row>
    <row r="18">
      <c r="A18" s="6" t="n">
        <v>14</v>
      </c>
      <c r="B18" s="6" t="inlineStr">
        <is>
          <t>5. harvest_calculations</t>
        </is>
      </c>
      <c r="C18" s="6" t="inlineStr">
        <is>
          <t>cleaning_loss</t>
        </is>
      </c>
      <c r="D18" s="6" t="inlineStr">
        <is>
          <t>harvest_calculated.csv</t>
        </is>
      </c>
      <c r="E18" s="6" t="inlineStr">
        <is>
          <t>cleaning_loss_pct</t>
        </is>
      </c>
      <c r="F18" s="6" t="inlineStr">
        <is>
          <t>clean_recovery</t>
        </is>
      </c>
      <c r="G18" s="6" t="inlineStr">
        <is>
          <t>100 * (1 - clean_recovery)</t>
        </is>
      </c>
      <c r="H18" s="6" t="inlineStr">
        <is>
          <t>%</t>
        </is>
      </c>
      <c r="I18" s="6" t="inlineStr">
        <is>
          <t>=100*(1-[@clean_recovery])</t>
        </is>
      </c>
    </row>
    <row r="19">
      <c r="A19" s="6" t="n">
        <v>15</v>
      </c>
      <c r="B19" s="6" t="inlineStr">
        <is>
          <t>5. harvest_calculations</t>
        </is>
      </c>
      <c r="C19" s="6" t="inlineStr">
        <is>
          <t>estimated_seed_count</t>
        </is>
      </c>
      <c r="D19" s="6" t="inlineStr">
        <is>
          <t>harvest_calculated.csv</t>
        </is>
      </c>
      <c r="E19" s="6" t="inlineStr">
        <is>
          <t>estimated_seed_count</t>
        </is>
      </c>
      <c r="F19" s="6" t="inlineStr">
        <is>
          <t>clean_seed_mass_g, w1000_g</t>
        </is>
      </c>
      <c r="G19" s="6" t="inlineStr">
        <is>
          <t>1000 * clean_seed_mass_g / w1000_g</t>
        </is>
      </c>
      <c r="H19" s="6" t="inlineStr">
        <is>
          <t>seeds</t>
        </is>
      </c>
      <c r="I19" s="6" t="inlineStr">
        <is>
          <t>=1000*[@clean_seed_mass_g]/[@w1000_g]</t>
        </is>
      </c>
    </row>
    <row r="20">
      <c r="A20" s="6" t="n">
        <v>16</v>
      </c>
      <c r="B20" s="6" t="inlineStr">
        <is>
          <t>5. harvest_calculations</t>
        </is>
      </c>
      <c r="C20" s="6" t="inlineStr">
        <is>
          <t>estimated_seeds_per_panicle</t>
        </is>
      </c>
      <c r="D20" s="6" t="inlineStr">
        <is>
          <t>harvest_calculated.csv</t>
        </is>
      </c>
      <c r="E20" s="6" t="inlineStr">
        <is>
          <t>estimated_seeds_per_panicle</t>
        </is>
      </c>
      <c r="F20" s="6" t="inlineStr">
        <is>
          <t>estimated_seed_count, panicle_count</t>
        </is>
      </c>
      <c r="G20" s="6" t="inlineStr">
        <is>
          <t>estimated_seed_count / panicle_count</t>
        </is>
      </c>
      <c r="H20" s="6" t="inlineStr">
        <is>
          <t>seeds/panicle</t>
        </is>
      </c>
      <c r="I20" s="6" t="inlineStr">
        <is>
          <t>=[@estimated_seed_count]/[@panicle_count]</t>
        </is>
      </c>
    </row>
    <row r="21">
      <c r="A21" s="6" t="n">
        <v>17</v>
      </c>
      <c r="B21" s="6" t="inlineStr">
        <is>
          <t>5. harvest_calculations</t>
        </is>
      </c>
      <c r="C21" s="6" t="inlineStr">
        <is>
          <t>harvest_index</t>
        </is>
      </c>
      <c r="D21" s="6" t="inlineStr">
        <is>
          <t>harvest_calculated.csv</t>
        </is>
      </c>
      <c r="E21" s="6" t="inlineStr">
        <is>
          <t>harvest_index_pct</t>
        </is>
      </c>
      <c r="F21" s="6" t="inlineStr">
        <is>
          <t>clean_yield_kg_ha, final_biomass_kg_ha</t>
        </is>
      </c>
      <c r="G21" s="6" t="inlineStr">
        <is>
          <t>100 * clean_yield_kg_ha / final_biomass_kg_ha</t>
        </is>
      </c>
      <c r="H21" s="6" t="inlineStr">
        <is>
          <t>%</t>
        </is>
      </c>
      <c r="I21" s="6" t="inlineStr">
        <is>
          <t>=100*[@clean_yield_kg_ha]/[@final_biomass_kg_ha]</t>
        </is>
      </c>
    </row>
    <row r="22">
      <c r="A22" s="6" t="n">
        <v>18</v>
      </c>
      <c r="B22" s="6" t="inlineStr">
        <is>
          <t>3. missing_quality_estimate</t>
        </is>
      </c>
      <c r="C22" s="6" t="inlineStr">
        <is>
          <t>rcbd_missing_n</t>
        </is>
      </c>
      <c r="D22" s="6" t="inlineStr">
        <is>
          <t>missing_quality_estimate.csv</t>
        </is>
      </c>
      <c r="E22" s="6" t="inlineStr">
        <is>
          <t>n_pct_estimated</t>
        </is>
      </c>
      <c r="F22" s="6" t="inlineStr">
        <is>
          <t>n_block_total, n_treatment_total, n_grand_total, treatment_count, block_count</t>
        </is>
      </c>
      <c r="G22" s="6" t="inlineStr">
        <is>
          <t>(treatment_count * n_block_total + block_count * n_treatment_total - n_grand_total) / ((treatment_count - 1) * (block_count - 1))</t>
        </is>
      </c>
      <c r="H22" s="6" t="inlineStr">
        <is>
          <t>%</t>
        </is>
      </c>
      <c r="I22" s="6" t="inlineStr">
        <is>
          <t>=(treatment_count*[@n_block_total]+block_count*[@n_treatment_total]-[@n_grand_total])/((treatment_count-1)*(block_count-1))</t>
        </is>
      </c>
    </row>
    <row r="23">
      <c r="A23" s="6" t="n">
        <v>19</v>
      </c>
      <c r="B23" s="6" t="inlineStr">
        <is>
          <t>3. missing_quality_estimate</t>
        </is>
      </c>
      <c r="C23" s="6" t="inlineStr">
        <is>
          <t>rcbd_missing_adf</t>
        </is>
      </c>
      <c r="D23" s="6" t="inlineStr">
        <is>
          <t>missing_quality_estimate.csv</t>
        </is>
      </c>
      <c r="E23" s="6" t="inlineStr">
        <is>
          <t>adf_pct_estimated</t>
        </is>
      </c>
      <c r="F23" s="6" t="inlineStr">
        <is>
          <t>adf_block_total, adf_treatment_total, adf_grand_total, treatment_count, block_count</t>
        </is>
      </c>
      <c r="G23" s="6" t="inlineStr">
        <is>
          <t>(treatment_count * adf_block_total + block_count * adf_treatment_total - adf_grand_total) / ((treatment_count - 1) * (block_count - 1))</t>
        </is>
      </c>
      <c r="H23" s="6" t="inlineStr">
        <is>
          <t>%</t>
        </is>
      </c>
      <c r="I23" s="6" t="inlineStr">
        <is>
          <t>=(treatment_count*[@adf_block_total]+block_count*[@adf_treatment_total]-[@adf_grand_total])/((treatment_count-1)*(block_count-1))</t>
        </is>
      </c>
    </row>
    <row r="24">
      <c r="A24" s="6" t="n">
        <v>20</v>
      </c>
      <c r="B24" s="6" t="inlineStr">
        <is>
          <t>3. missing_quality_estimate</t>
        </is>
      </c>
      <c r="C24" s="6" t="inlineStr">
        <is>
          <t>rcbd_missing_ndf</t>
        </is>
      </c>
      <c r="D24" s="6" t="inlineStr">
        <is>
          <t>missing_quality_estimate.csv</t>
        </is>
      </c>
      <c r="E24" s="6" t="inlineStr">
        <is>
          <t>ndf_pct_estimated</t>
        </is>
      </c>
      <c r="F24" s="6" t="inlineStr">
        <is>
          <t>ndf_block_total, ndf_treatment_total, ndf_grand_total, treatment_count, block_count</t>
        </is>
      </c>
      <c r="G24" s="6" t="inlineStr">
        <is>
          <t>(treatment_count * ndf_block_total + block_count * ndf_treatment_total - ndf_grand_total) / ((treatment_count - 1) * (block_count - 1))</t>
        </is>
      </c>
      <c r="H24" s="6" t="inlineStr">
        <is>
          <t>%</t>
        </is>
      </c>
      <c r="I24" s="6" t="inlineStr">
        <is>
          <t>=(treatment_count*[@ndf_block_total]+block_count*[@ndf_treatment_total]-[@ndf_grand_total])/((treatment_count-1)*(block_count-1))</t>
        </is>
      </c>
    </row>
    <row r="25">
      <c r="A25" s="6" t="n">
        <v>21</v>
      </c>
      <c r="B25" s="6" t="inlineStr">
        <is>
          <t>4. quality_calculations</t>
        </is>
      </c>
      <c r="C25" s="6" t="inlineStr">
        <is>
          <t>quality_n_estimate_lookup</t>
        </is>
      </c>
      <c r="D25" s="6" t="inlineStr">
        <is>
          <t>quality_calculated.csv</t>
        </is>
      </c>
      <c r="E25" s="6" t="inlineStr">
        <is>
          <t>estimated_n_pct</t>
        </is>
      </c>
      <c r="F25" s="6" t="inlineStr">
        <is>
          <t>sample_id, measurement_status, n_pct_estimated</t>
        </is>
      </c>
      <c r="G25" s="6" t="inlineStr">
        <is>
          <t>if measurement_status == 'estimated', look up n_pct_estimated by sample_id; otherwise null</t>
        </is>
      </c>
      <c r="H25" s="6" t="inlineStr">
        <is>
          <t>%</t>
        </is>
      </c>
      <c r="I25" s="6" t="inlineStr">
        <is>
          <t>=IF([@measurement_status]="estimated",XLOOKUP([@sample_id],MissingQuality[sample_id],MissingQuality[n_pct_estimated]),"")</t>
        </is>
      </c>
    </row>
    <row r="26">
      <c r="A26" s="6" t="n">
        <v>22</v>
      </c>
      <c r="B26" s="6" t="inlineStr">
        <is>
          <t>4. quality_calculations</t>
        </is>
      </c>
      <c r="C26" s="6" t="inlineStr">
        <is>
          <t>quality_adf_estimate_lookup</t>
        </is>
      </c>
      <c r="D26" s="6" t="inlineStr">
        <is>
          <t>quality_calculated.csv</t>
        </is>
      </c>
      <c r="E26" s="6" t="inlineStr">
        <is>
          <t>estimated_adf_pct</t>
        </is>
      </c>
      <c r="F26" s="6" t="inlineStr">
        <is>
          <t>sample_id, measurement_status, adf_pct_estimated</t>
        </is>
      </c>
      <c r="G26" s="6" t="inlineStr">
        <is>
          <t>if measurement_status == 'estimated', look up adf_pct_estimated by sample_id; otherwise null</t>
        </is>
      </c>
      <c r="H26" s="6" t="inlineStr">
        <is>
          <t>%</t>
        </is>
      </c>
      <c r="I26" s="6" t="inlineStr">
        <is>
          <t>=IF([@measurement_status]="estimated",XLOOKUP([@sample_id],MissingQuality[sample_id],MissingQuality[adf_pct_estimated]),"")</t>
        </is>
      </c>
    </row>
    <row r="27">
      <c r="A27" s="6" t="n">
        <v>23</v>
      </c>
      <c r="B27" s="6" t="inlineStr">
        <is>
          <t>4. quality_calculations</t>
        </is>
      </c>
      <c r="C27" s="6" t="inlineStr">
        <is>
          <t>quality_ndf_estimate_lookup</t>
        </is>
      </c>
      <c r="D27" s="6" t="inlineStr">
        <is>
          <t>quality_calculated.csv</t>
        </is>
      </c>
      <c r="E27" s="6" t="inlineStr">
        <is>
          <t>estimated_ndf_pct</t>
        </is>
      </c>
      <c r="F27" s="6" t="inlineStr">
        <is>
          <t>sample_id, measurement_status, ndf_pct_estimated</t>
        </is>
      </c>
      <c r="G27" s="6" t="inlineStr">
        <is>
          <t>if measurement_status == 'estimated', look up ndf_pct_estimated by sample_id; otherwise null</t>
        </is>
      </c>
      <c r="H27" s="6" t="inlineStr">
        <is>
          <t>%</t>
        </is>
      </c>
      <c r="I27" s="6" t="inlineStr">
        <is>
          <t>=IF([@measurement_status]="estimated",XLOOKUP([@sample_id],MissingQuality[sample_id],MissingQuality[ndf_pct_estimated]),"")</t>
        </is>
      </c>
    </row>
    <row r="28">
      <c r="A28" s="6" t="n">
        <v>24</v>
      </c>
      <c r="B28" s="6" t="inlineStr">
        <is>
          <t>4. quality_calculations</t>
        </is>
      </c>
      <c r="C28" s="6" t="inlineStr">
        <is>
          <t>n_accumulated</t>
        </is>
      </c>
      <c r="D28" s="6" t="inlineStr">
        <is>
          <t>quality_calculated.csv</t>
        </is>
      </c>
      <c r="E28" s="6" t="inlineStr">
        <is>
          <t>n_accumulated_kg_ha</t>
        </is>
      </c>
      <c r="F28" s="6" t="inlineStr">
        <is>
          <t>biomass_reported_kg_ha, effective_n_pct</t>
        </is>
      </c>
      <c r="G28" s="6" t="inlineStr">
        <is>
          <t>biomass_reported_kg_ha * effective_n_pct / 100</t>
        </is>
      </c>
      <c r="H28" s="6" t="inlineStr">
        <is>
          <t>kg N/ha</t>
        </is>
      </c>
      <c r="I28" s="6" t="inlineStr">
        <is>
          <t>=[@biomass_reported_kg_ha]*[@effective_n_pct]/100</t>
        </is>
      </c>
    </row>
    <row r="29">
      <c r="A29" s="6" t="n">
        <v>25</v>
      </c>
      <c r="B29" s="6" t="inlineStr">
        <is>
          <t>4. quality_calculations</t>
        </is>
      </c>
      <c r="C29" s="6" t="inlineStr">
        <is>
          <t>critical_n</t>
        </is>
      </c>
      <c r="D29" s="6" t="inlineStr">
        <is>
          <t>quality_calculated.csv</t>
        </is>
      </c>
      <c r="E29" s="6" t="inlineStr">
        <is>
          <t>critical_n_pct</t>
        </is>
      </c>
      <c r="F29" s="6" t="inlineStr">
        <is>
          <t>biomass_reported_kg_ha</t>
        </is>
      </c>
      <c r="G29" s="6" t="inlineStr">
        <is>
          <t>4.8 * (biomass_reported_kg_ha / 1000) ** -0.32</t>
        </is>
      </c>
      <c r="H29" s="6" t="inlineStr">
        <is>
          <t>%</t>
        </is>
      </c>
      <c r="I29" s="6" t="inlineStr">
        <is>
          <t>=4.8*([@biomass_reported_kg_ha]/1000)^(-0.32)</t>
        </is>
      </c>
    </row>
    <row r="30">
      <c r="A30" s="6" t="n">
        <v>26</v>
      </c>
      <c r="B30" s="6" t="inlineStr">
        <is>
          <t>4. quality_calculations</t>
        </is>
      </c>
      <c r="C30" s="6" t="inlineStr">
        <is>
          <t>nni</t>
        </is>
      </c>
      <c r="D30" s="6" t="inlineStr">
        <is>
          <t>quality_calculated.csv</t>
        </is>
      </c>
      <c r="E30" s="6" t="inlineStr">
        <is>
          <t>nni</t>
        </is>
      </c>
      <c r="F30" s="6" t="inlineStr">
        <is>
          <t>effective_n_pct, critical_n_pct</t>
        </is>
      </c>
      <c r="G30" s="6" t="inlineStr">
        <is>
          <t>effective_n_pct / critical_n_pct</t>
        </is>
      </c>
      <c r="H30" s="6" t="inlineStr">
        <is>
          <t>ratio</t>
        </is>
      </c>
      <c r="I30" s="6" t="inlineStr">
        <is>
          <t>=[@effective_n_pct]/[@critical_n_pct]</t>
        </is>
      </c>
    </row>
    <row r="31">
      <c r="A31" s="6" t="n">
        <v>27</v>
      </c>
      <c r="B31" s="6" t="inlineStr">
        <is>
          <t>3. missing_quality_estimate</t>
        </is>
      </c>
      <c r="C31" s="6" t="inlineStr">
        <is>
          <t>missing_n_accumulated</t>
        </is>
      </c>
      <c r="D31" s="6" t="inlineStr">
        <is>
          <t>missing_quality_estimate.csv</t>
        </is>
      </c>
      <c r="E31" s="6" t="inlineStr">
        <is>
          <t>n_accumulated_kg_ha</t>
        </is>
      </c>
      <c r="F31" s="6" t="inlineStr">
        <is>
          <t>biomass_kg_ha, n_pct_estimated</t>
        </is>
      </c>
      <c r="G31" s="6" t="inlineStr">
        <is>
          <t>biomass_kg_ha * n_pct_estimated / 100</t>
        </is>
      </c>
      <c r="H31" s="6" t="inlineStr">
        <is>
          <t>kg N/ha</t>
        </is>
      </c>
      <c r="I31" s="6" t="inlineStr">
        <is>
          <t>=[@biomass_kg_ha]*[@n_pct_estimated]/100</t>
        </is>
      </c>
    </row>
    <row r="32">
      <c r="A32" s="6" t="n">
        <v>28</v>
      </c>
      <c r="B32" s="6" t="inlineStr">
        <is>
          <t>3. missing_quality_estimate</t>
        </is>
      </c>
      <c r="C32" s="6" t="inlineStr">
        <is>
          <t>missing_critical_n</t>
        </is>
      </c>
      <c r="D32" s="6" t="inlineStr">
        <is>
          <t>missing_quality_estimate.csv</t>
        </is>
      </c>
      <c r="E32" s="6" t="inlineStr">
        <is>
          <t>critical_n_pct</t>
        </is>
      </c>
      <c r="F32" s="6" t="inlineStr">
        <is>
          <t>biomass_kg_ha</t>
        </is>
      </c>
      <c r="G32" s="6" t="inlineStr">
        <is>
          <t>4.8 * (biomass_kg_ha / 1000) ** -0.32</t>
        </is>
      </c>
      <c r="H32" s="6" t="inlineStr">
        <is>
          <t>%</t>
        </is>
      </c>
      <c r="I32" s="6" t="inlineStr">
        <is>
          <t>=4.8*([@biomass_kg_ha]/1000)^(-0.32)</t>
        </is>
      </c>
    </row>
    <row r="33">
      <c r="A33" s="6" t="n">
        <v>29</v>
      </c>
      <c r="B33" s="6" t="inlineStr">
        <is>
          <t>3. missing_quality_estimate</t>
        </is>
      </c>
      <c r="C33" s="6" t="inlineStr">
        <is>
          <t>missing_nni</t>
        </is>
      </c>
      <c r="D33" s="6" t="inlineStr">
        <is>
          <t>missing_quality_estimate.csv</t>
        </is>
      </c>
      <c r="E33" s="6" t="inlineStr">
        <is>
          <t>nni</t>
        </is>
      </c>
      <c r="F33" s="6" t="inlineStr">
        <is>
          <t>n_pct_estimated, critical_n_pct</t>
        </is>
      </c>
      <c r="G33" s="6" t="inlineStr">
        <is>
          <t>n_pct_estimated / critical_n_pct</t>
        </is>
      </c>
      <c r="H33" s="6" t="inlineStr">
        <is>
          <t>ratio</t>
        </is>
      </c>
      <c r="I33" s="6" t="inlineStr">
        <is>
          <t>=[@n_pct_estimated]/[@critical_n_pct]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</cols>
  <sheetData>
    <row r="1" ht="25" customHeight="1">
      <c r="A1" s="7" t="inlineStr">
        <is>
          <t>Diseño</t>
        </is>
      </c>
      <c r="B1" s="8" t="n"/>
      <c r="C1" s="8" t="n"/>
    </row>
    <row r="2" ht="31" customHeight="1">
      <c r="A2" s="9" t="inlineStr">
        <is>
          <t>Una fila por posición de parcela dentro de cada bloque. Origen canónico: experimental_design.csv. Rol: registrado.</t>
        </is>
      </c>
      <c r="B2" s="10" t="n"/>
      <c r="C2" s="10" t="n"/>
    </row>
    <row r="4" ht="38" customHeight="1">
      <c r="A4" s="11" t="inlineStr">
        <is>
          <t>Bloque</t>
        </is>
      </c>
      <c r="B4" s="11" t="inlineStr">
        <is>
          <t>Posición de parcela</t>
        </is>
      </c>
      <c r="C4" s="11" t="inlineStr">
        <is>
          <t>Tratamiento</t>
        </is>
      </c>
    </row>
    <row r="5">
      <c r="A5" s="6" t="inlineStr">
        <is>
          <t>R1</t>
        </is>
      </c>
      <c r="B5" s="12" t="n">
        <v>1</v>
      </c>
      <c r="C5" s="6" t="inlineStr">
        <is>
          <t>M1</t>
        </is>
      </c>
    </row>
    <row r="6">
      <c r="A6" s="6" t="inlineStr">
        <is>
          <t>R1</t>
        </is>
      </c>
      <c r="B6" s="12" t="n">
        <v>2</v>
      </c>
      <c r="C6" s="6" t="inlineStr">
        <is>
          <t>M0</t>
        </is>
      </c>
    </row>
    <row r="7">
      <c r="A7" s="6" t="inlineStr">
        <is>
          <t>R1</t>
        </is>
      </c>
      <c r="B7" s="12" t="n">
        <v>3</v>
      </c>
      <c r="C7" s="6" t="inlineStr">
        <is>
          <t>M5</t>
        </is>
      </c>
    </row>
    <row r="8">
      <c r="A8" s="6" t="inlineStr">
        <is>
          <t>R1</t>
        </is>
      </c>
      <c r="B8" s="12" t="n">
        <v>4</v>
      </c>
      <c r="C8" s="6" t="inlineStr">
        <is>
          <t>M4</t>
        </is>
      </c>
    </row>
    <row r="9">
      <c r="A9" s="6" t="inlineStr">
        <is>
          <t>R1</t>
        </is>
      </c>
      <c r="B9" s="12" t="n">
        <v>5</v>
      </c>
      <c r="C9" s="6" t="inlineStr">
        <is>
          <t>M3</t>
        </is>
      </c>
    </row>
    <row r="10">
      <c r="A10" s="6" t="inlineStr">
        <is>
          <t>R1</t>
        </is>
      </c>
      <c r="B10" s="12" t="n">
        <v>6</v>
      </c>
      <c r="C10" s="6" t="inlineStr">
        <is>
          <t>M2</t>
        </is>
      </c>
    </row>
    <row r="11">
      <c r="A11" s="6" t="inlineStr">
        <is>
          <t>R2</t>
        </is>
      </c>
      <c r="B11" s="12" t="n">
        <v>1</v>
      </c>
      <c r="C11" s="6" t="inlineStr">
        <is>
          <t>M3</t>
        </is>
      </c>
    </row>
    <row r="12">
      <c r="A12" s="6" t="inlineStr">
        <is>
          <t>R2</t>
        </is>
      </c>
      <c r="B12" s="12" t="n">
        <v>2</v>
      </c>
      <c r="C12" s="6" t="inlineStr">
        <is>
          <t>M4</t>
        </is>
      </c>
    </row>
    <row r="13">
      <c r="A13" s="6" t="inlineStr">
        <is>
          <t>R2</t>
        </is>
      </c>
      <c r="B13" s="12" t="n">
        <v>3</v>
      </c>
      <c r="C13" s="6" t="inlineStr">
        <is>
          <t>M0</t>
        </is>
      </c>
    </row>
    <row r="14">
      <c r="A14" s="6" t="inlineStr">
        <is>
          <t>R2</t>
        </is>
      </c>
      <c r="B14" s="12" t="n">
        <v>4</v>
      </c>
      <c r="C14" s="6" t="inlineStr">
        <is>
          <t>M1</t>
        </is>
      </c>
    </row>
    <row r="15">
      <c r="A15" s="6" t="inlineStr">
        <is>
          <t>R2</t>
        </is>
      </c>
      <c r="B15" s="12" t="n">
        <v>5</v>
      </c>
      <c r="C15" s="6" t="inlineStr">
        <is>
          <t>M5</t>
        </is>
      </c>
    </row>
    <row r="16">
      <c r="A16" s="6" t="inlineStr">
        <is>
          <t>R2</t>
        </is>
      </c>
      <c r="B16" s="12" t="n">
        <v>6</v>
      </c>
      <c r="C16" s="6" t="inlineStr">
        <is>
          <t>M2</t>
        </is>
      </c>
    </row>
    <row r="17">
      <c r="A17" s="6" t="inlineStr">
        <is>
          <t>R3</t>
        </is>
      </c>
      <c r="B17" s="12" t="n">
        <v>1</v>
      </c>
      <c r="C17" s="6" t="inlineStr">
        <is>
          <t>M3</t>
        </is>
      </c>
    </row>
    <row r="18">
      <c r="A18" s="6" t="inlineStr">
        <is>
          <t>R3</t>
        </is>
      </c>
      <c r="B18" s="12" t="n">
        <v>2</v>
      </c>
      <c r="C18" s="6" t="inlineStr">
        <is>
          <t>M2</t>
        </is>
      </c>
    </row>
    <row r="19">
      <c r="A19" s="6" t="inlineStr">
        <is>
          <t>R3</t>
        </is>
      </c>
      <c r="B19" s="12" t="n">
        <v>3</v>
      </c>
      <c r="C19" s="6" t="inlineStr">
        <is>
          <t>M4</t>
        </is>
      </c>
    </row>
    <row r="20">
      <c r="A20" s="6" t="inlineStr">
        <is>
          <t>R3</t>
        </is>
      </c>
      <c r="B20" s="12" t="n">
        <v>4</v>
      </c>
      <c r="C20" s="6" t="inlineStr">
        <is>
          <t>M0</t>
        </is>
      </c>
    </row>
    <row r="21">
      <c r="A21" s="6" t="inlineStr">
        <is>
          <t>R3</t>
        </is>
      </c>
      <c r="B21" s="12" t="n">
        <v>5</v>
      </c>
      <c r="C21" s="6" t="inlineStr">
        <is>
          <t>M1</t>
        </is>
      </c>
    </row>
    <row r="22">
      <c r="A22" s="6" t="inlineStr">
        <is>
          <t>R3</t>
        </is>
      </c>
      <c r="B22" s="12" t="n">
        <v>6</v>
      </c>
      <c r="C22" s="6" t="inlineStr">
        <is>
          <t>M5</t>
        </is>
      </c>
    </row>
    <row r="23">
      <c r="A23" s="6" t="inlineStr">
        <is>
          <t>R4</t>
        </is>
      </c>
      <c r="B23" s="12" t="n">
        <v>1</v>
      </c>
      <c r="C23" s="6" t="inlineStr">
        <is>
          <t>M0</t>
        </is>
      </c>
    </row>
    <row r="24">
      <c r="A24" s="6" t="inlineStr">
        <is>
          <t>R4</t>
        </is>
      </c>
      <c r="B24" s="12" t="n">
        <v>2</v>
      </c>
      <c r="C24" s="6" t="inlineStr">
        <is>
          <t>M1</t>
        </is>
      </c>
    </row>
    <row r="25">
      <c r="A25" s="6" t="inlineStr">
        <is>
          <t>R4</t>
        </is>
      </c>
      <c r="B25" s="12" t="n">
        <v>3</v>
      </c>
      <c r="C25" s="6" t="inlineStr">
        <is>
          <t>M2</t>
        </is>
      </c>
    </row>
    <row r="26">
      <c r="A26" s="6" t="inlineStr">
        <is>
          <t>R4</t>
        </is>
      </c>
      <c r="B26" s="12" t="n">
        <v>4</v>
      </c>
      <c r="C26" s="6" t="inlineStr">
        <is>
          <t>M3</t>
        </is>
      </c>
    </row>
    <row r="27">
      <c r="A27" s="6" t="inlineStr">
        <is>
          <t>R4</t>
        </is>
      </c>
      <c r="B27" s="12" t="n">
        <v>5</v>
      </c>
      <c r="C27" s="6" t="inlineStr">
        <is>
          <t>M4</t>
        </is>
      </c>
    </row>
    <row r="28">
      <c r="A28" s="6" t="inlineStr">
        <is>
          <t>R4</t>
        </is>
      </c>
      <c r="B28" s="12" t="n">
        <v>6</v>
      </c>
      <c r="C28" s="6" t="inlineStr">
        <is>
          <t>M5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5" customWidth="1" min="3" max="3"/>
    <col width="17" customWidth="1" min="4" max="4"/>
    <col width="42" customWidth="1" min="5" max="5"/>
  </cols>
  <sheetData>
    <row r="1" ht="25" customHeight="1">
      <c r="A1" s="7" t="inlineStr">
        <is>
          <t>Metadatos</t>
        </is>
      </c>
      <c r="B1" s="8" t="n"/>
      <c r="C1" s="8" t="n"/>
      <c r="D1" s="8" t="n"/>
      <c r="E1" s="8" t="n"/>
    </row>
    <row r="2" ht="31" customHeight="1">
      <c r="A2" s="9" t="inlineStr">
        <is>
          <t>Una fila por parámetro del ensayo. Origen canónico: experiment_metadata.csv. Rol: registrado.</t>
        </is>
      </c>
      <c r="B2" s="10" t="n"/>
      <c r="C2" s="10" t="n"/>
      <c r="D2" s="10" t="n"/>
      <c r="E2" s="10" t="n"/>
    </row>
    <row r="4" ht="38" customHeight="1">
      <c r="A4" s="11" t="inlineStr">
        <is>
          <t>Parámetro</t>
        </is>
      </c>
      <c r="B4" s="11" t="inlineStr">
        <is>
          <t>Valor</t>
        </is>
      </c>
      <c r="C4" s="11" t="inlineStr">
        <is>
          <t>Tipo de valor</t>
        </is>
      </c>
      <c r="D4" s="11" t="inlineStr">
        <is>
          <t>Unidad</t>
        </is>
      </c>
      <c r="E4" s="11" t="inlineStr">
        <is>
          <t>Referencia histórica</t>
        </is>
      </c>
    </row>
    <row r="5">
      <c r="A5" s="6" t="inlineStr">
        <is>
          <t>producer</t>
        </is>
      </c>
      <c r="B5" s="6" t="inlineStr">
        <is>
          <t>La favorita</t>
        </is>
      </c>
      <c r="C5" s="6" t="inlineStr">
        <is>
          <t>string</t>
        </is>
      </c>
      <c r="D5" s="6" t="n"/>
      <c r="E5" s="6" t="inlineStr">
        <is>
          <t>Ensayo!B3</t>
        </is>
      </c>
    </row>
    <row r="6">
      <c r="A6" s="6" t="inlineStr">
        <is>
          <t>forage_common_name</t>
        </is>
      </c>
      <c r="B6" s="6" t="inlineStr">
        <is>
          <t>Festuca</t>
        </is>
      </c>
      <c r="C6" s="6" t="inlineStr">
        <is>
          <t>string</t>
        </is>
      </c>
      <c r="D6" s="6" t="n"/>
      <c r="E6" s="6" t="inlineStr">
        <is>
          <t>Ensayo!A4</t>
        </is>
      </c>
    </row>
    <row r="7">
      <c r="A7" s="6" t="inlineStr">
        <is>
          <t>cultivar</t>
        </is>
      </c>
      <c r="B7" s="6" t="inlineStr">
        <is>
          <t>Rizar</t>
        </is>
      </c>
      <c r="C7" s="6" t="inlineStr">
        <is>
          <t>string</t>
        </is>
      </c>
      <c r="D7" s="6" t="n"/>
      <c r="E7" s="6" t="inlineStr">
        <is>
          <t>Ensayo!B4</t>
        </is>
      </c>
    </row>
    <row r="8">
      <c r="A8" s="6" t="inlineStr">
        <is>
          <t>sowing_year</t>
        </is>
      </c>
      <c r="B8" s="6" t="n">
        <v>2023</v>
      </c>
      <c r="C8" s="6" t="inlineStr">
        <is>
          <t>integer</t>
        </is>
      </c>
      <c r="D8" s="6" t="inlineStr">
        <is>
          <t>year</t>
        </is>
      </c>
      <c r="E8" s="6" t="inlineStr">
        <is>
          <t>Ensayo!B5</t>
        </is>
      </c>
    </row>
    <row r="9">
      <c r="A9" s="6" t="inlineStr">
        <is>
          <t>experiment_year</t>
        </is>
      </c>
      <c r="B9" s="6" t="n">
        <v>2025</v>
      </c>
      <c r="C9" s="6" t="inlineStr">
        <is>
          <t>integer</t>
        </is>
      </c>
      <c r="D9" s="6" t="inlineStr">
        <is>
          <t>year</t>
        </is>
      </c>
      <c r="E9" s="6" t="inlineStr">
        <is>
          <t>Ensayo!B6</t>
        </is>
      </c>
    </row>
    <row r="10">
      <c r="A10" s="6" t="inlineStr">
        <is>
          <t>experimental_n_total_kg_ha</t>
        </is>
      </c>
      <c r="B10" s="6" t="n">
        <v>200</v>
      </c>
      <c r="C10" s="6" t="inlineStr">
        <is>
          <t>number</t>
        </is>
      </c>
      <c r="D10" s="6" t="inlineStr">
        <is>
          <t>kg N/ha</t>
        </is>
      </c>
      <c r="E10" s="6" t="inlineStr">
        <is>
          <t>Ensayo!B8</t>
        </is>
      </c>
    </row>
    <row r="11">
      <c r="A11" s="6" t="inlineStr">
        <is>
          <t>applications_per_treatment</t>
        </is>
      </c>
      <c r="B11" s="6" t="n">
        <v>2</v>
      </c>
      <c r="C11" s="6" t="inlineStr">
        <is>
          <t>integer</t>
        </is>
      </c>
      <c r="D11" s="6" t="inlineStr">
        <is>
          <t>applications</t>
        </is>
      </c>
      <c r="E11" s="6" t="inlineStr">
        <is>
          <t>Ensayo!B9</t>
        </is>
      </c>
    </row>
    <row r="12">
      <c r="A12" s="6" t="inlineStr">
        <is>
          <t>dose_per_application_kg_ha</t>
        </is>
      </c>
      <c r="B12" s="6" t="n">
        <v>100</v>
      </c>
      <c r="C12" s="6" t="inlineStr">
        <is>
          <t>number</t>
        </is>
      </c>
      <c r="D12" s="6" t="inlineStr">
        <is>
          <t>kg N/ha</t>
        </is>
      </c>
      <c r="E12" s="6" t="inlineStr">
        <is>
          <t>derived from Ensayo!B8:B9</t>
        </is>
      </c>
    </row>
    <row r="13">
      <c r="A13" s="6" t="inlineStr">
        <is>
          <t>plot_area_m2</t>
        </is>
      </c>
      <c r="B13" s="6" t="n">
        <v>24</v>
      </c>
      <c r="C13" s="6" t="inlineStr">
        <is>
          <t>number</t>
        </is>
      </c>
      <c r="D13" s="6" t="inlineStr">
        <is>
          <t>m2</t>
        </is>
      </c>
      <c r="E13" s="6" t="inlineStr">
        <is>
          <t>Ensayo!B10</t>
        </is>
      </c>
    </row>
    <row r="14">
      <c r="A14" s="6" t="inlineStr">
        <is>
          <t>plot_width_m</t>
        </is>
      </c>
      <c r="B14" s="6" t="n">
        <v>4</v>
      </c>
      <c r="C14" s="6" t="inlineStr">
        <is>
          <t>number</t>
        </is>
      </c>
      <c r="D14" s="6" t="inlineStr">
        <is>
          <t>m</t>
        </is>
      </c>
      <c r="E14" s="6" t="inlineStr">
        <is>
          <t>Ensayo!B11</t>
        </is>
      </c>
    </row>
    <row r="15">
      <c r="A15" s="6" t="inlineStr">
        <is>
          <t>plot_length_m</t>
        </is>
      </c>
      <c r="B15" s="6" t="n">
        <v>6</v>
      </c>
      <c r="C15" s="6" t="inlineStr">
        <is>
          <t>number</t>
        </is>
      </c>
      <c r="D15" s="6" t="inlineStr">
        <is>
          <t>m</t>
        </is>
      </c>
      <c r="E15" s="6" t="inlineStr">
        <is>
          <t>Ensayo!B12</t>
        </is>
      </c>
    </row>
    <row r="16">
      <c r="A16" s="6" t="inlineStr">
        <is>
          <t>repetitions</t>
        </is>
      </c>
      <c r="B16" s="6" t="n">
        <v>4</v>
      </c>
      <c r="C16" s="6" t="inlineStr">
        <is>
          <t>integer</t>
        </is>
      </c>
      <c r="D16" s="6" t="inlineStr">
        <is>
          <t>blocks</t>
        </is>
      </c>
      <c r="E16" s="6" t="inlineStr">
        <is>
          <t>Ensayo!B13</t>
        </is>
      </c>
    </row>
    <row r="17">
      <c r="A17" s="6" t="inlineStr">
        <is>
          <t>urea_per_plot_kg</t>
        </is>
      </c>
      <c r="B17" s="6" t="n">
        <v>0.522</v>
      </c>
      <c r="C17" s="6" t="inlineStr">
        <is>
          <t>number</t>
        </is>
      </c>
      <c r="D17" s="6" t="inlineStr">
        <is>
          <t>kg product/plot</t>
        </is>
      </c>
      <c r="E17" s="6" t="inlineStr">
        <is>
          <t>Ensayo!B14</t>
        </is>
      </c>
    </row>
    <row r="18">
      <c r="A18" s="6" t="inlineStr">
        <is>
          <t>urea_rate_kg_ha</t>
        </is>
      </c>
      <c r="B18" s="6" t="n">
        <v>217</v>
      </c>
      <c r="C18" s="6" t="inlineStr">
        <is>
          <t>number</t>
        </is>
      </c>
      <c r="D18" s="6" t="inlineStr">
        <is>
          <t>kg product/ha</t>
        </is>
      </c>
      <c r="E18" s="6" t="inlineStr">
        <is>
          <t>Ensayo!B15</t>
        </is>
      </c>
    </row>
    <row r="19">
      <c r="A19" s="6" t="inlineStr">
        <is>
          <t>urea_n_pct</t>
        </is>
      </c>
      <c r="B19" s="6" t="n">
        <v>46</v>
      </c>
      <c r="C19" s="6" t="inlineStr">
        <is>
          <t>number</t>
        </is>
      </c>
      <c r="D19" s="6" t="inlineStr">
        <is>
          <t>% N</t>
        </is>
      </c>
      <c r="E19" s="6" t="inlineStr">
        <is>
          <t>Ensayo!A15</t>
        </is>
      </c>
    </row>
    <row r="20">
      <c r="A20" s="6" t="inlineStr">
        <is>
          <t>row_spacing_cm</t>
        </is>
      </c>
      <c r="B20" s="6" t="n">
        <v>38</v>
      </c>
      <c r="C20" s="6" t="inlineStr">
        <is>
          <t>number</t>
        </is>
      </c>
      <c r="D20" s="6" t="inlineStr">
        <is>
          <t>cm</t>
        </is>
      </c>
      <c r="E20" s="6" t="inlineStr">
        <is>
          <t>Datos_MS!K3</t>
        </is>
      </c>
    </row>
    <row r="21">
      <c r="A21" s="6" t="inlineStr">
        <is>
          <t>biomass_cut_length_m</t>
        </is>
      </c>
      <c r="B21" s="6" t="n">
        <v>1</v>
      </c>
      <c r="C21" s="6" t="inlineStr">
        <is>
          <t>number</t>
        </is>
      </c>
      <c r="D21" s="6" t="inlineStr">
        <is>
          <t>m</t>
        </is>
      </c>
      <c r="E21" s="6" t="inlineStr">
        <is>
          <t>Datos_MS!G5</t>
        </is>
      </c>
    </row>
    <row r="22">
      <c r="A22" s="6" t="inlineStr">
        <is>
          <t>biomass_sample_area_m2</t>
        </is>
      </c>
      <c r="B22" s="6" t="n">
        <v>0.38</v>
      </c>
      <c r="C22" s="6" t="inlineStr">
        <is>
          <t>number</t>
        </is>
      </c>
      <c r="D22" s="6" t="inlineStr">
        <is>
          <t>m2</t>
        </is>
      </c>
      <c r="E22" s="6" t="inlineStr">
        <is>
          <t>derived from Datos_MS!K3 and G5</t>
        </is>
      </c>
    </row>
    <row r="23">
      <c r="A23" s="6" t="inlineStr">
        <is>
          <t>harvest_length_per_row_m</t>
        </is>
      </c>
      <c r="B23" s="6" t="n">
        <v>1</v>
      </c>
      <c r="C23" s="6" t="inlineStr">
        <is>
          <t>number</t>
        </is>
      </c>
      <c r="D23" s="6" t="inlineStr">
        <is>
          <t>m</t>
        </is>
      </c>
      <c r="E23" s="6" t="inlineStr">
        <is>
          <t>Datos_Rto!D3</t>
        </is>
      </c>
    </row>
    <row r="24">
      <c r="A24" s="6" t="inlineStr">
        <is>
          <t>harvest_row_count</t>
        </is>
      </c>
      <c r="B24" s="6" t="n">
        <v>2</v>
      </c>
      <c r="C24" s="6" t="inlineStr">
        <is>
          <t>integer</t>
        </is>
      </c>
      <c r="D24" s="6" t="inlineStr">
        <is>
          <t>rows</t>
        </is>
      </c>
      <c r="E24" s="6" t="inlineStr">
        <is>
          <t>Datos_Rto!D3</t>
        </is>
      </c>
    </row>
    <row r="25">
      <c r="A25" s="6" t="inlineStr">
        <is>
          <t>harvest_sample_area_m2</t>
        </is>
      </c>
      <c r="B25" s="6" t="n">
        <v>0.76</v>
      </c>
      <c r="C25" s="6" t="inlineStr">
        <is>
          <t>number</t>
        </is>
      </c>
      <c r="D25" s="6" t="inlineStr">
        <is>
          <t>m2</t>
        </is>
      </c>
      <c r="E25" s="6" t="inlineStr">
        <is>
          <t>derived from Datos_Rto!D3 and Datos_MS!K3</t>
        </is>
      </c>
    </row>
    <row r="26">
      <c r="A26" s="6" t="inlineStr">
        <is>
          <t>stakes_per_trial</t>
        </is>
      </c>
      <c r="B26" s="6" t="n">
        <v>60</v>
      </c>
      <c r="C26" s="6" t="inlineStr">
        <is>
          <t>integer</t>
        </is>
      </c>
      <c r="D26" s="6" t="inlineStr">
        <is>
          <t>stakes</t>
        </is>
      </c>
      <c r="E26" s="6" t="inlineStr">
        <is>
          <t>Diseño!F1:G1</t>
        </is>
      </c>
    </row>
    <row r="27">
      <c r="A27" s="6" t="inlineStr">
        <is>
          <t>north_marker</t>
        </is>
      </c>
      <c r="B27" s="6" t="inlineStr">
        <is>
          <t>N</t>
        </is>
      </c>
      <c r="C27" s="6" t="inlineStr">
        <is>
          <t>string</t>
        </is>
      </c>
      <c r="D27" s="6" t="n"/>
      <c r="E27" s="6" t="inlineStr">
        <is>
          <t>Diseño!A6</t>
        </is>
      </c>
    </row>
    <row r="28">
      <c r="A28" s="6" t="inlineStr">
        <is>
          <t>reference_boundary</t>
        </is>
      </c>
      <c r="B28" s="6" t="inlineStr">
        <is>
          <t>CASAS</t>
        </is>
      </c>
      <c r="C28" s="6" t="inlineStr">
        <is>
          <t>string</t>
        </is>
      </c>
      <c r="D28" s="6" t="n"/>
      <c r="E28" s="6" t="inlineStr">
        <is>
          <t>Diseño!A1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21" customWidth="1" min="2" max="2"/>
    <col width="26" customWidth="1" min="3" max="3"/>
    <col width="16" customWidth="1" min="4" max="4"/>
    <col width="13" customWidth="1" min="5" max="5"/>
    <col width="22" customWidth="1" min="6" max="6"/>
    <col width="31" customWidth="1" min="7" max="7"/>
    <col width="42" customWidth="1" min="8" max="8"/>
    <col width="25" customWidth="1" min="9" max="9"/>
  </cols>
  <sheetData>
    <row r="1" ht="25" customHeight="1">
      <c r="A1" s="7" t="inlineStr">
        <is>
          <t>Cronograma</t>
        </is>
      </c>
      <c r="B1" s="8" t="n"/>
      <c r="C1" s="8" t="n"/>
      <c r="D1" s="8" t="n"/>
      <c r="E1" s="8" t="n"/>
      <c r="F1" s="8" t="n"/>
      <c r="G1" s="8" t="n"/>
      <c r="H1" s="8" t="n"/>
      <c r="I1" s="8" t="n"/>
    </row>
    <row r="2" ht="31" customHeight="1">
      <c r="A2" s="9" t="inlineStr">
        <is>
          <t>Una fila por evento de campo atómico. Origen canónico: field_timeline.csv. Rol: registrado.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</row>
    <row r="4" ht="38" customHeight="1">
      <c r="A4" s="11" t="inlineStr">
        <is>
          <t>Identificador del evento</t>
        </is>
      </c>
      <c r="B4" s="11" t="inlineStr">
        <is>
          <t>Fecha</t>
        </is>
      </c>
      <c r="C4" s="11" t="inlineStr">
        <is>
          <t>Tipo de evento</t>
        </is>
      </c>
      <c r="D4" s="11" t="inlineStr">
        <is>
          <t>Alcance</t>
        </is>
      </c>
      <c r="E4" s="11" t="inlineStr">
        <is>
          <t>Tratamiento</t>
        </is>
      </c>
      <c r="F4" s="11" t="inlineStr">
        <is>
          <t>Número de aplicación</t>
        </is>
      </c>
      <c r="G4" s="11" t="inlineStr">
        <is>
          <t>Estado fenológico</t>
        </is>
      </c>
      <c r="H4" s="11" t="inlineStr">
        <is>
          <t>Descripción</t>
        </is>
      </c>
      <c r="I4" s="11" t="inlineStr">
        <is>
          <t>Orden intradía conocido</t>
        </is>
      </c>
    </row>
    <row r="5">
      <c r="A5" s="6" t="inlineStr">
        <is>
          <t>2025-06-12_trial_installation</t>
        </is>
      </c>
      <c r="B5" s="13" t="n">
        <v>45820</v>
      </c>
      <c r="C5" s="6" t="inlineStr">
        <is>
          <t>trial_installation</t>
        </is>
      </c>
      <c r="D5" s="6" t="inlineStr">
        <is>
          <t>whole_trial</t>
        </is>
      </c>
      <c r="E5" s="6" t="n"/>
      <c r="F5" s="12" t="n"/>
      <c r="G5" s="6" t="n"/>
      <c r="H5" s="6" t="inlineStr">
        <is>
          <t>Instalación del ensayo.</t>
        </is>
      </c>
      <c r="I5" s="6" t="b">
        <v>0</v>
      </c>
    </row>
    <row r="6">
      <c r="A6" s="6" t="inlineStr">
        <is>
          <t>2025-06-12_tiller_count</t>
        </is>
      </c>
      <c r="B6" s="13" t="n">
        <v>45820</v>
      </c>
      <c r="C6" s="6" t="inlineStr">
        <is>
          <t>tiller_count</t>
        </is>
      </c>
      <c r="D6" s="6" t="inlineStr">
        <is>
          <t>baseline</t>
        </is>
      </c>
      <c r="E6" s="6" t="n"/>
      <c r="F6" s="12" t="n"/>
      <c r="G6" s="6" t="n"/>
      <c r="H6" s="6" t="inlineStr">
        <is>
          <t>Conteo inicial de macollos.</t>
        </is>
      </c>
      <c r="I6" s="6" t="b">
        <v>0</v>
      </c>
    </row>
    <row r="7">
      <c r="A7" s="6" t="inlineStr">
        <is>
          <t>2025-06-12_biomass_quality_sampling</t>
        </is>
      </c>
      <c r="B7" s="13" t="n">
        <v>45820</v>
      </c>
      <c r="C7" s="6" t="inlineStr">
        <is>
          <t>biomass_quality_sampling</t>
        </is>
      </c>
      <c r="D7" s="6" t="inlineStr">
        <is>
          <t>baseline</t>
        </is>
      </c>
      <c r="E7" s="6" t="n"/>
      <c r="F7" s="12" t="n"/>
      <c r="G7" s="6" t="n"/>
      <c r="H7" s="6" t="inlineStr">
        <is>
          <t>Muestreo inicial de biomasa y calidad.</t>
        </is>
      </c>
      <c r="I7" s="6" t="b">
        <v>0</v>
      </c>
    </row>
    <row r="8">
      <c r="A8" s="6" t="inlineStr">
        <is>
          <t>2025-06-12_m1_application_1</t>
        </is>
      </c>
      <c r="B8" s="13" t="n">
        <v>45820</v>
      </c>
      <c r="C8" s="6" t="inlineStr">
        <is>
          <t>nitrogen_application</t>
        </is>
      </c>
      <c r="D8" s="6" t="inlineStr">
        <is>
          <t>treatment</t>
        </is>
      </c>
      <c r="E8" s="6" t="inlineStr">
        <is>
          <t>M1</t>
        </is>
      </c>
      <c r="F8" s="12" t="n">
        <v>1</v>
      </c>
      <c r="G8" s="6" t="n"/>
      <c r="H8" s="6" t="inlineStr">
        <is>
          <t>Primera aplicación de M1.</t>
        </is>
      </c>
      <c r="I8" s="6" t="b">
        <v>0</v>
      </c>
    </row>
    <row r="9">
      <c r="A9" s="6" t="inlineStr">
        <is>
          <t>2025-06-27_m2_application_1</t>
        </is>
      </c>
      <c r="B9" s="13" t="n">
        <v>45835</v>
      </c>
      <c r="C9" s="6" t="inlineStr">
        <is>
          <t>nitrogen_application</t>
        </is>
      </c>
      <c r="D9" s="6" t="inlineStr">
        <is>
          <t>treatment</t>
        </is>
      </c>
      <c r="E9" s="6" t="inlineStr">
        <is>
          <t>M2</t>
        </is>
      </c>
      <c r="F9" s="12" t="n">
        <v>1</v>
      </c>
      <c r="G9" s="6" t="n"/>
      <c r="H9" s="6" t="inlineStr">
        <is>
          <t>Primera aplicación de M2.</t>
        </is>
      </c>
      <c r="I9" s="6" t="n"/>
    </row>
    <row r="10">
      <c r="A10" s="6" t="inlineStr">
        <is>
          <t>2025-07-09_m3_application_1</t>
        </is>
      </c>
      <c r="B10" s="13" t="n">
        <v>45847</v>
      </c>
      <c r="C10" s="6" t="inlineStr">
        <is>
          <t>nitrogen_application</t>
        </is>
      </c>
      <c r="D10" s="6" t="inlineStr">
        <is>
          <t>treatment</t>
        </is>
      </c>
      <c r="E10" s="6" t="inlineStr">
        <is>
          <t>M3</t>
        </is>
      </c>
      <c r="F10" s="12" t="n">
        <v>1</v>
      </c>
      <c r="G10" s="6" t="n"/>
      <c r="H10" s="6" t="inlineStr">
        <is>
          <t>Primera aplicación de M3.</t>
        </is>
      </c>
      <c r="I10" s="6" t="n"/>
    </row>
    <row r="11">
      <c r="A11" s="6" t="inlineStr">
        <is>
          <t>2025-08-04_m1_application_2</t>
        </is>
      </c>
      <c r="B11" s="13" t="n">
        <v>45873</v>
      </c>
      <c r="C11" s="6" t="inlineStr">
        <is>
          <t>nitrogen_application</t>
        </is>
      </c>
      <c r="D11" s="6" t="inlineStr">
        <is>
          <t>treatment</t>
        </is>
      </c>
      <c r="E11" s="6" t="inlineStr">
        <is>
          <t>M1</t>
        </is>
      </c>
      <c r="F11" s="12" t="n">
        <v>2</v>
      </c>
      <c r="G11" s="6" t="n"/>
      <c r="H11" s="6" t="inlineStr">
        <is>
          <t>Segunda aplicación de M1.</t>
        </is>
      </c>
      <c r="I11" s="6" t="b">
        <v>0</v>
      </c>
    </row>
    <row r="12">
      <c r="A12" s="6" t="inlineStr">
        <is>
          <t>2025-08-04_m2_application_2</t>
        </is>
      </c>
      <c r="B12" s="13" t="n">
        <v>45873</v>
      </c>
      <c r="C12" s="6" t="inlineStr">
        <is>
          <t>nitrogen_application</t>
        </is>
      </c>
      <c r="D12" s="6" t="inlineStr">
        <is>
          <t>treatment</t>
        </is>
      </c>
      <c r="E12" s="6" t="inlineStr">
        <is>
          <t>M2</t>
        </is>
      </c>
      <c r="F12" s="12" t="n">
        <v>2</v>
      </c>
      <c r="G12" s="6" t="n"/>
      <c r="H12" s="6" t="inlineStr">
        <is>
          <t>Segunda aplicación de M2.</t>
        </is>
      </c>
      <c r="I12" s="6" t="b">
        <v>0</v>
      </c>
    </row>
    <row r="13">
      <c r="A13" s="6" t="inlineStr">
        <is>
          <t>2025-08-04_m4_application_1</t>
        </is>
      </c>
      <c r="B13" s="13" t="n">
        <v>45873</v>
      </c>
      <c r="C13" s="6" t="inlineStr">
        <is>
          <t>nitrogen_application</t>
        </is>
      </c>
      <c r="D13" s="6" t="inlineStr">
        <is>
          <t>treatment</t>
        </is>
      </c>
      <c r="E13" s="6" t="inlineStr">
        <is>
          <t>M4</t>
        </is>
      </c>
      <c r="F13" s="12" t="n">
        <v>1</v>
      </c>
      <c r="G13" s="6" t="n"/>
      <c r="H13" s="6" t="inlineStr">
        <is>
          <t>Primera aplicación de M4.</t>
        </is>
      </c>
      <c r="I13" s="6" t="b">
        <v>0</v>
      </c>
    </row>
    <row r="14">
      <c r="A14" s="6" t="inlineStr">
        <is>
          <t>2025-08-21_m3_application_2</t>
        </is>
      </c>
      <c r="B14" s="13" t="n">
        <v>45890</v>
      </c>
      <c r="C14" s="6" t="inlineStr">
        <is>
          <t>nitrogen_application</t>
        </is>
      </c>
      <c r="D14" s="6" t="inlineStr">
        <is>
          <t>treatment</t>
        </is>
      </c>
      <c r="E14" s="6" t="inlineStr">
        <is>
          <t>M3</t>
        </is>
      </c>
      <c r="F14" s="12" t="n">
        <v>2</v>
      </c>
      <c r="G14" s="6" t="n"/>
      <c r="H14" s="6" t="inlineStr">
        <is>
          <t>Segunda aplicación de M3.</t>
        </is>
      </c>
      <c r="I14" s="6" t="n"/>
    </row>
    <row r="15">
      <c r="A15" s="6" t="inlineStr">
        <is>
          <t>2025-08-25_m5_application_1</t>
        </is>
      </c>
      <c r="B15" s="13" t="n">
        <v>45894</v>
      </c>
      <c r="C15" s="6" t="inlineStr">
        <is>
          <t>nitrogen_application</t>
        </is>
      </c>
      <c r="D15" s="6" t="inlineStr">
        <is>
          <t>treatment</t>
        </is>
      </c>
      <c r="E15" s="6" t="inlineStr">
        <is>
          <t>M5</t>
        </is>
      </c>
      <c r="F15" s="12" t="n">
        <v>1</v>
      </c>
      <c r="G15" s="6" t="n"/>
      <c r="H15" s="6" t="inlineStr">
        <is>
          <t>Primera aplicación de M5.</t>
        </is>
      </c>
      <c r="I15" s="6" t="n"/>
    </row>
    <row r="16">
      <c r="A16" s="6" t="inlineStr">
        <is>
          <t>2025-09-16_m4_application_2</t>
        </is>
      </c>
      <c r="B16" s="13" t="n">
        <v>45916</v>
      </c>
      <c r="C16" s="6" t="inlineStr">
        <is>
          <t>nitrogen_application</t>
        </is>
      </c>
      <c r="D16" s="6" t="inlineStr">
        <is>
          <t>treatment</t>
        </is>
      </c>
      <c r="E16" s="6" t="inlineStr">
        <is>
          <t>M4</t>
        </is>
      </c>
      <c r="F16" s="12" t="n">
        <v>2</v>
      </c>
      <c r="G16" s="6" t="n"/>
      <c r="H16" s="6" t="inlineStr">
        <is>
          <t>Segunda aplicación de M4; el orden intradía no está documentado.</t>
        </is>
      </c>
      <c r="I16" s="6" t="b">
        <v>0</v>
      </c>
    </row>
    <row r="17">
      <c r="A17" s="6" t="inlineStr">
        <is>
          <t>2025-09-16_m5_application_2</t>
        </is>
      </c>
      <c r="B17" s="13" t="n">
        <v>45916</v>
      </c>
      <c r="C17" s="6" t="inlineStr">
        <is>
          <t>nitrogen_application</t>
        </is>
      </c>
      <c r="D17" s="6" t="inlineStr">
        <is>
          <t>treatment</t>
        </is>
      </c>
      <c r="E17" s="6" t="inlineStr">
        <is>
          <t>M5</t>
        </is>
      </c>
      <c r="F17" s="12" t="n">
        <v>2</v>
      </c>
      <c r="G17" s="6" t="n"/>
      <c r="H17" s="6" t="inlineStr">
        <is>
          <t>Segunda aplicación de M5; el orden intradía no está documentado.</t>
        </is>
      </c>
      <c r="I17" s="6" t="b">
        <v>0</v>
      </c>
    </row>
    <row r="18">
      <c r="A18" s="6" t="inlineStr">
        <is>
          <t>2025-09-16_biomass_quality_sampling</t>
        </is>
      </c>
      <c r="B18" s="13" t="n">
        <v>45916</v>
      </c>
      <c r="C18" s="6" t="inlineStr">
        <is>
          <t>biomass_quality_sampling</t>
        </is>
      </c>
      <c r="D18" s="6" t="inlineStr">
        <is>
          <t>all_treatments</t>
        </is>
      </c>
      <c r="E18" s="6" t="n"/>
      <c r="F18" s="12" t="n"/>
      <c r="G18" s="6" t="inlineStr">
        <is>
          <t>Z31; registro adicional Z3.08</t>
        </is>
      </c>
      <c r="H18" s="6" t="inlineStr">
        <is>
          <t>Primer corte de materia seca y muestreo de calidad; el orden intradía no está documentado.</t>
        </is>
      </c>
      <c r="I18" s="6" t="b">
        <v>0</v>
      </c>
    </row>
    <row r="19">
      <c r="A19" s="6" t="inlineStr">
        <is>
          <t>2025-09-16_phenology_observation</t>
        </is>
      </c>
      <c r="B19" s="13" t="n">
        <v>45916</v>
      </c>
      <c r="C19" s="6" t="inlineStr">
        <is>
          <t>phenology_observation</t>
        </is>
      </c>
      <c r="D19" s="6" t="inlineStr">
        <is>
          <t>all_treatments</t>
        </is>
      </c>
      <c r="E19" s="6" t="n"/>
      <c r="F19" s="12" t="n"/>
      <c r="G19" s="6" t="inlineStr">
        <is>
          <t>Z31; registro adicional Z3.08</t>
        </is>
      </c>
      <c r="H19" s="6" t="inlineStr">
        <is>
          <t>Nudos registrados: 0-1-0-1-1-1-1-2-1-0.</t>
        </is>
      </c>
      <c r="I19" s="6" t="b">
        <v>0</v>
      </c>
    </row>
    <row r="20">
      <c r="A20" s="6" t="inlineStr">
        <is>
          <t>2025-10-20_biomass_quality_sampling</t>
        </is>
      </c>
      <c r="B20" s="13" t="n">
        <v>45950</v>
      </c>
      <c r="C20" s="6" t="inlineStr">
        <is>
          <t>biomass_quality_sampling</t>
        </is>
      </c>
      <c r="D20" s="6" t="inlineStr">
        <is>
          <t>all_treatments</t>
        </is>
      </c>
      <c r="E20" s="6" t="n"/>
      <c r="F20" s="12" t="n"/>
      <c r="G20" s="6" t="inlineStr">
        <is>
          <t>anthesis</t>
        </is>
      </c>
      <c r="H20" s="6" t="inlineStr">
        <is>
          <t>Corte para materia seca y calidad en antesis.</t>
        </is>
      </c>
      <c r="I20" s="6" t="n"/>
    </row>
    <row r="21">
      <c r="A21" s="6" t="inlineStr">
        <is>
          <t>2025-11-12_biomass_quality_sampling</t>
        </is>
      </c>
      <c r="B21" s="13" t="n">
        <v>45973</v>
      </c>
      <c r="C21" s="6" t="inlineStr">
        <is>
          <t>biomass_quality_sampling</t>
        </is>
      </c>
      <c r="D21" s="6" t="inlineStr">
        <is>
          <t>all_treatments</t>
        </is>
      </c>
      <c r="E21" s="6" t="n"/>
      <c r="F21" s="12" t="n"/>
      <c r="G21" s="6" t="n"/>
      <c r="H21" s="6" t="inlineStr">
        <is>
          <t>Corte final para materia seca y calidad.</t>
        </is>
      </c>
      <c r="I21" s="6" t="b">
        <v>0</v>
      </c>
    </row>
    <row r="22">
      <c r="A22" s="6" t="inlineStr">
        <is>
          <t>2025-11-12_harvest</t>
        </is>
      </c>
      <c r="B22" s="13" t="n">
        <v>45973</v>
      </c>
      <c r="C22" s="6" t="inlineStr">
        <is>
          <t>harvest</t>
        </is>
      </c>
      <c r="D22" s="6" t="inlineStr">
        <is>
          <t>all_treatments</t>
        </is>
      </c>
      <c r="E22" s="6" t="n"/>
      <c r="F22" s="12" t="n"/>
      <c r="G22" s="6" t="n"/>
      <c r="H22" s="6" t="inlineStr">
        <is>
          <t>Cosecha para evaluar el rendimiento y sus componentes.</t>
        </is>
      </c>
      <c r="I22" s="6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 ht="25" customHeight="1">
      <c r="A1" s="7" t="inlineStr">
        <is>
          <t>Suelo</t>
        </is>
      </c>
      <c r="B1" s="8" t="n"/>
      <c r="C1" s="8" t="n"/>
    </row>
    <row r="2" ht="31" customHeight="1">
      <c r="A2" s="9" t="inlineStr">
        <is>
          <t>Una fila por determinación de suelo. Origen canónico: soil_analysis.csv. Rol: registrado.</t>
        </is>
      </c>
      <c r="B2" s="10" t="n"/>
      <c r="C2" s="10" t="n"/>
    </row>
    <row r="4" ht="38" customHeight="1">
      <c r="A4" s="11" t="inlineStr">
        <is>
          <t>Parámetro</t>
        </is>
      </c>
      <c r="B4" s="11" t="inlineStr">
        <is>
          <t>Valor</t>
        </is>
      </c>
      <c r="C4" s="11" t="inlineStr">
        <is>
          <t>Unidad</t>
        </is>
      </c>
    </row>
    <row r="5">
      <c r="A5" s="6" t="inlineStr">
        <is>
          <t>phosphorus</t>
        </is>
      </c>
      <c r="B5" s="14" t="n">
        <v>14</v>
      </c>
      <c r="C5" s="6" t="inlineStr">
        <is>
          <t>ppm</t>
        </is>
      </c>
    </row>
    <row r="6">
      <c r="A6" s="6" t="inlineStr">
        <is>
          <t>potassium</t>
        </is>
      </c>
      <c r="B6" s="14" t="n">
        <v>0.77</v>
      </c>
      <c r="C6" s="6" t="inlineStr">
        <is>
          <t>meq</t>
        </is>
      </c>
    </row>
    <row r="7">
      <c r="A7" s="6" t="inlineStr">
        <is>
          <t>base_saturation</t>
        </is>
      </c>
      <c r="B7" s="14" t="n">
        <v>91</v>
      </c>
      <c r="C7" s="6" t="inlineStr">
        <is>
          <t>%</t>
        </is>
      </c>
    </row>
    <row r="8">
      <c r="A8" s="6" t="inlineStr">
        <is>
          <t>organic_matter</t>
        </is>
      </c>
      <c r="B8" s="14" t="n">
        <v>3.4</v>
      </c>
      <c r="C8" s="6" t="inlineStr">
        <is>
          <t>%</t>
        </is>
      </c>
    </row>
    <row r="9">
      <c r="A9" s="6" t="inlineStr">
        <is>
          <t>ph</t>
        </is>
      </c>
      <c r="B9" s="14" t="n">
        <v>6.04</v>
      </c>
      <c r="C9" s="6" t="n"/>
    </row>
    <row r="10">
      <c r="A10" s="6" t="inlineStr">
        <is>
          <t>calcium</t>
        </is>
      </c>
      <c r="B10" s="14" t="n">
        <v>20.5</v>
      </c>
      <c r="C10" s="6" t="inlineStr">
        <is>
          <t>meq</t>
        </is>
      </c>
    </row>
    <row r="11">
      <c r="A11" s="6" t="inlineStr">
        <is>
          <t>magnesium</t>
        </is>
      </c>
      <c r="B11" s="14" t="n">
        <v>3.53</v>
      </c>
      <c r="C11" s="6" t="inlineStr">
        <is>
          <t>meq</t>
        </is>
      </c>
    </row>
    <row r="12">
      <c r="A12" s="6" t="inlineStr">
        <is>
          <t>sodium</t>
        </is>
      </c>
      <c r="B12" s="14" t="n">
        <v>0.33</v>
      </c>
      <c r="C12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2" customWidth="1" min="4" max="4"/>
  </cols>
  <sheetData>
    <row r="1" ht="25" customHeight="1">
      <c r="A1" s="7" t="inlineStr">
        <is>
          <t>Manejo</t>
        </is>
      </c>
      <c r="B1" s="8" t="n"/>
      <c r="C1" s="8" t="n"/>
      <c r="D1" s="8" t="n"/>
    </row>
    <row r="2" ht="31" customHeight="1">
      <c r="A2" s="9" t="inlineStr">
        <is>
          <t>Una fila por mes calendario. Origen canónico: field_management.csv. Rol: registrado.</t>
        </is>
      </c>
      <c r="B2" s="10" t="n"/>
      <c r="C2" s="10" t="n"/>
      <c r="D2" s="10" t="n"/>
    </row>
    <row r="4" ht="38" customHeight="1">
      <c r="A4" s="11" t="inlineStr">
        <is>
          <t>Año</t>
        </is>
      </c>
      <c r="B4" s="11" t="inlineStr">
        <is>
          <t>Mes</t>
        </is>
      </c>
      <c r="C4" s="11" t="inlineStr">
        <is>
          <t>Nombre del mes</t>
        </is>
      </c>
      <c r="D4" s="11" t="inlineStr">
        <is>
          <t>Actividad de manejo</t>
        </is>
      </c>
    </row>
    <row r="5">
      <c r="A5" s="12" t="n">
        <v>2025</v>
      </c>
      <c r="B5" s="12" t="n">
        <v>1</v>
      </c>
      <c r="C5" s="6" t="inlineStr">
        <is>
          <t>Enero</t>
        </is>
      </c>
      <c r="D5" s="6" t="inlineStr">
        <is>
          <t>Pastoreo rotativo en subpotreros de 50 ha, hasta cierre</t>
        </is>
      </c>
    </row>
    <row r="6">
      <c r="A6" s="12" t="n">
        <v>2025</v>
      </c>
      <c r="B6" s="12" t="n">
        <v>2</v>
      </c>
      <c r="C6" s="6" t="inlineStr">
        <is>
          <t>Febrero</t>
        </is>
      </c>
      <c r="D6" s="6" t="n"/>
    </row>
    <row r="7">
      <c r="A7" s="12" t="n">
        <v>2025</v>
      </c>
      <c r="B7" s="12" t="n">
        <v>3</v>
      </c>
      <c r="C7" s="6" t="inlineStr">
        <is>
          <t>Marzo</t>
        </is>
      </c>
      <c r="D7" s="6" t="inlineStr">
        <is>
          <t>1,6 kg/ha Diuron 80%</t>
        </is>
      </c>
    </row>
    <row r="8">
      <c r="A8" s="12" t="n">
        <v>2025</v>
      </c>
      <c r="B8" s="12" t="n">
        <v>4</v>
      </c>
      <c r="C8" s="6" t="inlineStr">
        <is>
          <t>Abril</t>
        </is>
      </c>
      <c r="D8" s="6" t="inlineStr">
        <is>
          <t>150 kg/ha Urea Azufrada</t>
        </is>
      </c>
    </row>
    <row r="9">
      <c r="A9" s="12" t="n">
        <v>2025</v>
      </c>
      <c r="B9" s="12" t="n">
        <v>5</v>
      </c>
      <c r="C9" s="6" t="inlineStr">
        <is>
          <t>Mayo</t>
        </is>
      </c>
      <c r="D9" s="6" t="n"/>
    </row>
    <row r="10">
      <c r="A10" s="12" t="n">
        <v>2025</v>
      </c>
      <c r="B10" s="12" t="n">
        <v>6</v>
      </c>
      <c r="C10" s="6" t="inlineStr">
        <is>
          <t>Junio</t>
        </is>
      </c>
      <c r="D10" s="6" t="n"/>
    </row>
    <row r="11">
      <c r="A11" s="12" t="n">
        <v>2025</v>
      </c>
      <c r="B11" s="12" t="n">
        <v>7</v>
      </c>
      <c r="C11" s="6" t="inlineStr">
        <is>
          <t>Julio</t>
        </is>
      </c>
      <c r="D11" s="6" t="n"/>
    </row>
    <row r="12">
      <c r="A12" s="12" t="n">
        <v>2025</v>
      </c>
      <c r="B12" s="12" t="n">
        <v>8</v>
      </c>
      <c r="C12" s="6" t="inlineStr">
        <is>
          <t>Agosto</t>
        </is>
      </c>
      <c r="D12" s="6" t="n"/>
    </row>
    <row r="13">
      <c r="A13" s="12" t="n">
        <v>2025</v>
      </c>
      <c r="B13" s="12" t="n">
        <v>9</v>
      </c>
      <c r="C13" s="6" t="inlineStr">
        <is>
          <t>Setiembre</t>
        </is>
      </c>
      <c r="D13" s="6" t="n"/>
    </row>
    <row r="14">
      <c r="A14" s="12" t="n">
        <v>2025</v>
      </c>
      <c r="B14" s="12" t="n">
        <v>10</v>
      </c>
      <c r="C14" s="6" t="inlineStr">
        <is>
          <t>Octubre</t>
        </is>
      </c>
      <c r="D14" s="6" t="inlineStr">
        <is>
          <t>Spireel protioconazol + trifloxistrobin 750 cc/ha. Rhino Clorantraniliprole 12 gr/ha</t>
        </is>
      </c>
    </row>
    <row r="15">
      <c r="A15" s="12" t="n">
        <v>2025</v>
      </c>
      <c r="B15" s="12" t="n">
        <v>11</v>
      </c>
      <c r="C15" s="6" t="inlineStr">
        <is>
          <t>Noviembre</t>
        </is>
      </c>
      <c r="D15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26" customWidth="1" min="4" max="4"/>
    <col width="20" customWidth="1" min="5" max="5"/>
  </cols>
  <sheetData>
    <row r="1" ht="25" customHeight="1">
      <c r="A1" s="7" t="inlineStr">
        <is>
          <t>Agua</t>
        </is>
      </c>
      <c r="B1" s="8" t="n"/>
      <c r="C1" s="8" t="n"/>
      <c r="D1" s="8" t="n"/>
      <c r="E1" s="8" t="n"/>
    </row>
    <row r="2" ht="31" customHeight="1">
      <c r="A2" s="9" t="inlineStr">
        <is>
          <t>Una fila por mes calendario. Origen canónico: water_inputs.csv. Rol: registrado.</t>
        </is>
      </c>
      <c r="B2" s="10" t="n"/>
      <c r="C2" s="10" t="n"/>
      <c r="D2" s="10" t="n"/>
      <c r="E2" s="10" t="n"/>
    </row>
    <row r="4" ht="38" customHeight="1">
      <c r="A4" s="11" t="inlineStr">
        <is>
          <t>Año</t>
        </is>
      </c>
      <c r="B4" s="11" t="inlineStr">
        <is>
          <t>Mes</t>
        </is>
      </c>
      <c r="C4" s="11" t="inlineStr">
        <is>
          <t>Nombre del mes</t>
        </is>
      </c>
      <c r="D4" s="11" t="inlineStr">
        <is>
          <t>Riego suplementario (mm)</t>
        </is>
      </c>
      <c r="E4" s="11" t="inlineStr">
        <is>
          <t>Precipitación (mm)</t>
        </is>
      </c>
    </row>
    <row r="5">
      <c r="A5" s="12" t="n">
        <v>2025</v>
      </c>
      <c r="B5" s="12" t="n">
        <v>1</v>
      </c>
      <c r="C5" s="6" t="inlineStr">
        <is>
          <t>Enero</t>
        </is>
      </c>
      <c r="D5" s="14" t="n">
        <v>0</v>
      </c>
      <c r="E5" s="14" t="n">
        <v>62</v>
      </c>
    </row>
    <row r="6">
      <c r="A6" s="12" t="n">
        <v>2025</v>
      </c>
      <c r="B6" s="12" t="n">
        <v>2</v>
      </c>
      <c r="C6" s="6" t="inlineStr">
        <is>
          <t>Febrero</t>
        </is>
      </c>
      <c r="D6" s="14" t="n">
        <v>0</v>
      </c>
      <c r="E6" s="14" t="n">
        <v>235</v>
      </c>
    </row>
    <row r="7">
      <c r="A7" s="12" t="n">
        <v>2025</v>
      </c>
      <c r="B7" s="12" t="n">
        <v>3</v>
      </c>
      <c r="C7" s="6" t="inlineStr">
        <is>
          <t>Marzo</t>
        </is>
      </c>
      <c r="D7" s="14" t="n">
        <v>0</v>
      </c>
      <c r="E7" s="14" t="n">
        <v>151</v>
      </c>
    </row>
    <row r="8">
      <c r="A8" s="12" t="n">
        <v>2025</v>
      </c>
      <c r="B8" s="12" t="n">
        <v>4</v>
      </c>
      <c r="C8" s="6" t="inlineStr">
        <is>
          <t>Abril</t>
        </is>
      </c>
      <c r="D8" s="14" t="n">
        <v>0</v>
      </c>
      <c r="E8" s="14" t="n">
        <v>74</v>
      </c>
    </row>
    <row r="9">
      <c r="A9" s="12" t="n">
        <v>2025</v>
      </c>
      <c r="B9" s="12" t="n">
        <v>5</v>
      </c>
      <c r="C9" s="6" t="inlineStr">
        <is>
          <t>Mayo</t>
        </is>
      </c>
      <c r="D9" s="14" t="n">
        <v>0</v>
      </c>
      <c r="E9" s="14" t="n">
        <v>144</v>
      </c>
    </row>
    <row r="10">
      <c r="A10" s="12" t="n">
        <v>2025</v>
      </c>
      <c r="B10" s="12" t="n">
        <v>6</v>
      </c>
      <c r="C10" s="6" t="inlineStr">
        <is>
          <t>Junio</t>
        </is>
      </c>
      <c r="D10" s="14" t="n">
        <v>15</v>
      </c>
      <c r="E10" s="14" t="n">
        <v>43</v>
      </c>
    </row>
    <row r="11">
      <c r="A11" s="12" t="n">
        <v>2025</v>
      </c>
      <c r="B11" s="12" t="n">
        <v>7</v>
      </c>
      <c r="C11" s="6" t="inlineStr">
        <is>
          <t>Julio</t>
        </is>
      </c>
      <c r="D11" s="14" t="n">
        <v>0</v>
      </c>
      <c r="E11" s="14" t="n">
        <v>62</v>
      </c>
    </row>
    <row r="12">
      <c r="A12" s="12" t="n">
        <v>2025</v>
      </c>
      <c r="B12" s="12" t="n">
        <v>8</v>
      </c>
      <c r="C12" s="6" t="inlineStr">
        <is>
          <t>Agosto</t>
        </is>
      </c>
      <c r="D12" s="14" t="n">
        <v>0</v>
      </c>
      <c r="E12" s="14" t="n">
        <v>101</v>
      </c>
    </row>
    <row r="13">
      <c r="A13" s="12" t="n">
        <v>2025</v>
      </c>
      <c r="B13" s="12" t="n">
        <v>9</v>
      </c>
      <c r="C13" s="6" t="inlineStr">
        <is>
          <t>Setiembre</t>
        </is>
      </c>
      <c r="D13" s="14" t="n">
        <v>30</v>
      </c>
      <c r="E13" s="14" t="n">
        <v>89</v>
      </c>
    </row>
    <row r="14">
      <c r="A14" s="12" t="n">
        <v>2025</v>
      </c>
      <c r="B14" s="12" t="n">
        <v>10</v>
      </c>
      <c r="C14" s="6" t="inlineStr">
        <is>
          <t>Octubre</t>
        </is>
      </c>
      <c r="D14" s="14" t="n">
        <v>90</v>
      </c>
      <c r="E14" s="14" t="n">
        <v>141</v>
      </c>
    </row>
    <row r="15">
      <c r="A15" s="12" t="n">
        <v>2025</v>
      </c>
      <c r="B15" s="12" t="n">
        <v>11</v>
      </c>
      <c r="C15" s="6" t="inlineStr">
        <is>
          <t>Noviembre</t>
        </is>
      </c>
      <c r="D15" s="14" t="n">
        <v>30</v>
      </c>
      <c r="E15" s="14" t="n">
        <v>74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1" customWidth="1" min="2" max="2"/>
    <col width="11" customWidth="1" min="3" max="3"/>
    <col width="16" customWidth="1" min="4" max="4"/>
    <col width="13" customWidth="1" min="5" max="5"/>
    <col width="11" customWidth="1" min="6" max="6"/>
    <col width="36" customWidth="1" min="7" max="7"/>
    <col width="28" customWidth="1" min="8" max="8"/>
    <col width="30" customWidth="1" min="9" max="9"/>
    <col width="21" customWidth="1" min="10" max="10"/>
    <col width="15" customWidth="1" min="11" max="11"/>
    <col width="29" customWidth="1" min="12" max="12"/>
  </cols>
  <sheetData>
    <row r="1" ht="25" customHeight="1">
      <c r="A1" s="7" t="inlineStr">
        <is>
          <t>MS registrada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</row>
    <row r="2" ht="31" customHeight="1">
      <c r="A2" s="9" t="inlineStr">
        <is>
          <t>Una fila por observación de biomasa o macollos. Origen canónico: dry_matter_recorded.csv. Rol: registrado.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4" ht="38" customHeight="1">
      <c r="A4" s="11" t="inlineStr">
        <is>
          <t>Identificador de observación</t>
        </is>
      </c>
      <c r="B4" s="11" t="inlineStr">
        <is>
          <t>Fecha</t>
        </is>
      </c>
      <c r="C4" s="11" t="inlineStr">
        <is>
          <t>Muestra</t>
        </is>
      </c>
      <c r="D4" s="11" t="inlineStr">
        <is>
          <t>Sector hídrico</t>
        </is>
      </c>
      <c r="E4" s="11" t="inlineStr">
        <is>
          <t>Tratamiento</t>
        </is>
      </c>
      <c r="F4" s="11" t="inlineStr">
        <is>
          <t>Bloque</t>
        </is>
      </c>
      <c r="G4" s="11" t="inlineStr">
        <is>
          <t>Macollos en 30 cm (macollos/30 cm)</t>
        </is>
      </c>
      <c r="H4" s="11" t="inlineStr">
        <is>
          <t>Peso verde en un metro (g)</t>
        </is>
      </c>
      <c r="I4" s="11" t="inlineStr">
        <is>
          <t>Peso verde de la muestra (g)</t>
        </is>
      </c>
      <c r="J4" s="11" t="inlineStr">
        <is>
          <t>Peso de bandeja (g)</t>
        </is>
      </c>
      <c r="K4" s="11" t="inlineStr">
        <is>
          <t>Peso seco (g)</t>
        </is>
      </c>
      <c r="L4" s="11" t="inlineStr">
        <is>
          <t>Materia seca registrada (%)</t>
        </is>
      </c>
    </row>
    <row r="5">
      <c r="A5" s="6" t="inlineStr">
        <is>
          <t>dm_20250612_riego_general_r1</t>
        </is>
      </c>
      <c r="B5" s="13" t="n">
        <v>45820</v>
      </c>
      <c r="C5" s="12" t="n">
        <v>1</v>
      </c>
      <c r="D5" s="6" t="inlineStr">
        <is>
          <t>Riego</t>
        </is>
      </c>
      <c r="E5" s="6" t="inlineStr">
        <is>
          <t>GENERAL</t>
        </is>
      </c>
      <c r="F5" s="6" t="inlineStr">
        <is>
          <t>R1</t>
        </is>
      </c>
      <c r="G5" s="14" t="n">
        <v>265</v>
      </c>
      <c r="H5" s="14" t="n">
        <v>431.3</v>
      </c>
      <c r="I5" s="14" t="n">
        <v>642</v>
      </c>
      <c r="J5" s="14" t="n">
        <v>72</v>
      </c>
      <c r="K5" s="14" t="n">
        <v>539</v>
      </c>
      <c r="L5" s="14" t="n">
        <v>38.3</v>
      </c>
    </row>
    <row r="6">
      <c r="A6" s="6" t="inlineStr">
        <is>
          <t>dm_20250612_riego_general_r2</t>
        </is>
      </c>
      <c r="B6" s="13" t="n">
        <v>45820</v>
      </c>
      <c r="C6" s="12" t="n">
        <v>2</v>
      </c>
      <c r="D6" s="6" t="inlineStr">
        <is>
          <t>Riego</t>
        </is>
      </c>
      <c r="E6" s="6" t="inlineStr">
        <is>
          <t>GENERAL</t>
        </is>
      </c>
      <c r="F6" s="6" t="inlineStr">
        <is>
          <t>R2</t>
        </is>
      </c>
      <c r="G6" s="14" t="n">
        <v>265</v>
      </c>
      <c r="H6" s="14" t="n">
        <v>314.1</v>
      </c>
      <c r="I6" s="14" t="n">
        <v>685</v>
      </c>
      <c r="J6" s="14" t="n">
        <v>56</v>
      </c>
      <c r="K6" s="14" t="n">
        <v>547</v>
      </c>
      <c r="L6" s="14" t="n">
        <v>34</v>
      </c>
    </row>
    <row r="7">
      <c r="A7" s="6" t="inlineStr">
        <is>
          <t>dm_20250612_riego_general_r3</t>
        </is>
      </c>
      <c r="B7" s="13" t="n">
        <v>45820</v>
      </c>
      <c r="C7" s="12" t="n">
        <v>3</v>
      </c>
      <c r="D7" s="6" t="inlineStr">
        <is>
          <t>Riego</t>
        </is>
      </c>
      <c r="E7" s="6" t="inlineStr">
        <is>
          <t>GENERAL</t>
        </is>
      </c>
      <c r="F7" s="6" t="inlineStr">
        <is>
          <t>R3</t>
        </is>
      </c>
      <c r="G7" s="14" t="n">
        <v>278</v>
      </c>
      <c r="H7" s="14" t="n">
        <v>467.5</v>
      </c>
      <c r="I7" s="14" t="n">
        <v>738</v>
      </c>
      <c r="J7" s="14" t="n">
        <v>81</v>
      </c>
      <c r="K7" s="14" t="n">
        <v>598</v>
      </c>
      <c r="L7" s="14" t="n">
        <v>38.3</v>
      </c>
    </row>
    <row r="8">
      <c r="A8" s="6" t="inlineStr">
        <is>
          <t>dm_20250612_riego_general_r4</t>
        </is>
      </c>
      <c r="B8" s="13" t="n">
        <v>45820</v>
      </c>
      <c r="C8" s="12" t="n">
        <v>4</v>
      </c>
      <c r="D8" s="6" t="inlineStr">
        <is>
          <t>Riego</t>
        </is>
      </c>
      <c r="E8" s="6" t="inlineStr">
        <is>
          <t>GENERAL</t>
        </is>
      </c>
      <c r="F8" s="6" t="inlineStr">
        <is>
          <t>R4</t>
        </is>
      </c>
      <c r="G8" s="14" t="n">
        <v>274</v>
      </c>
      <c r="H8" s="14" t="n">
        <v>359.4</v>
      </c>
      <c r="I8" s="14" t="n">
        <v>696</v>
      </c>
      <c r="J8" s="14" t="n">
        <v>28</v>
      </c>
      <c r="K8" s="14" t="n">
        <v>561</v>
      </c>
      <c r="L8" s="14" t="n">
        <v>34.4</v>
      </c>
    </row>
    <row r="9">
      <c r="A9" s="6" t="inlineStr">
        <is>
          <t>dm_20250612_riego_general_r5</t>
        </is>
      </c>
      <c r="B9" s="13" t="n">
        <v>45820</v>
      </c>
      <c r="C9" s="12" t="n"/>
      <c r="D9" s="6" t="inlineStr">
        <is>
          <t>Riego</t>
        </is>
      </c>
      <c r="E9" s="6" t="inlineStr">
        <is>
          <t>GENERAL</t>
        </is>
      </c>
      <c r="F9" s="6" t="inlineStr">
        <is>
          <t>R5</t>
        </is>
      </c>
      <c r="G9" s="14" t="n">
        <v>233</v>
      </c>
      <c r="H9" s="14" t="n"/>
      <c r="I9" s="14" t="n"/>
      <c r="J9" s="14" t="n"/>
      <c r="K9" s="14" t="n"/>
      <c r="L9" s="14" t="n"/>
    </row>
    <row r="10">
      <c r="A10" s="6" t="inlineStr">
        <is>
          <t>dm_20250612_secano_general_r1</t>
        </is>
      </c>
      <c r="B10" s="13" t="n">
        <v>45820</v>
      </c>
      <c r="C10" s="12" t="n">
        <v>5</v>
      </c>
      <c r="D10" s="6" t="inlineStr">
        <is>
          <t>Secano</t>
        </is>
      </c>
      <c r="E10" s="6" t="inlineStr">
        <is>
          <t>GENERAL</t>
        </is>
      </c>
      <c r="F10" s="6" t="inlineStr">
        <is>
          <t>R1</t>
        </is>
      </c>
      <c r="G10" s="14" t="n">
        <v>252</v>
      </c>
      <c r="H10" s="14" t="n">
        <v>404.7</v>
      </c>
      <c r="I10" s="14" t="n">
        <v>680</v>
      </c>
      <c r="J10" s="14" t="n">
        <v>11</v>
      </c>
      <c r="K10" s="14" t="n">
        <v>569</v>
      </c>
      <c r="L10" s="14" t="n">
        <v>34.7</v>
      </c>
    </row>
    <row r="11">
      <c r="A11" s="6" t="inlineStr">
        <is>
          <t>dm_20250612_secano_general_r2</t>
        </is>
      </c>
      <c r="B11" s="13" t="n">
        <v>45820</v>
      </c>
      <c r="C11" s="12" t="n">
        <v>6</v>
      </c>
      <c r="D11" s="6" t="inlineStr">
        <is>
          <t>Secano</t>
        </is>
      </c>
      <c r="E11" s="6" t="inlineStr">
        <is>
          <t>GENERAL</t>
        </is>
      </c>
      <c r="F11" s="6" t="inlineStr">
        <is>
          <t>R2</t>
        </is>
      </c>
      <c r="G11" s="14" t="n">
        <v>300</v>
      </c>
      <c r="H11" s="14" t="n">
        <v>571.9</v>
      </c>
      <c r="I11" s="14" t="n">
        <v>736</v>
      </c>
      <c r="J11" s="14" t="n">
        <v>42</v>
      </c>
      <c r="K11" s="14" t="n">
        <v>591</v>
      </c>
      <c r="L11" s="14" t="n">
        <v>33.3</v>
      </c>
    </row>
    <row r="12">
      <c r="A12" s="6" t="inlineStr">
        <is>
          <t>dm_20250612_secano_general_r3</t>
        </is>
      </c>
      <c r="B12" s="13" t="n">
        <v>45820</v>
      </c>
      <c r="C12" s="12" t="n">
        <v>7</v>
      </c>
      <c r="D12" s="6" t="inlineStr">
        <is>
          <t>Secano</t>
        </is>
      </c>
      <c r="E12" s="6" t="inlineStr">
        <is>
          <t>GENERAL</t>
        </is>
      </c>
      <c r="F12" s="6" t="inlineStr">
        <is>
          <t>R3</t>
        </is>
      </c>
      <c r="G12" s="14" t="n">
        <v>305</v>
      </c>
      <c r="H12" s="14" t="n">
        <v>445</v>
      </c>
      <c r="I12" s="14" t="n">
        <v>680</v>
      </c>
      <c r="J12" s="14" t="n">
        <v>25</v>
      </c>
      <c r="K12" s="14" t="n">
        <v>558</v>
      </c>
      <c r="L12" s="14" t="n">
        <v>31.1</v>
      </c>
    </row>
    <row r="13">
      <c r="A13" s="6" t="inlineStr">
        <is>
          <t>dm_20250612_secano_general_r4</t>
        </is>
      </c>
      <c r="B13" s="13" t="n">
        <v>45820</v>
      </c>
      <c r="C13" s="12" t="n">
        <v>8</v>
      </c>
      <c r="D13" s="6" t="inlineStr">
        <is>
          <t>Secano</t>
        </is>
      </c>
      <c r="E13" s="6" t="inlineStr">
        <is>
          <t>GENERAL</t>
        </is>
      </c>
      <c r="F13" s="6" t="inlineStr">
        <is>
          <t>R4</t>
        </is>
      </c>
      <c r="G13" s="14" t="n">
        <v>263</v>
      </c>
      <c r="H13" s="14" t="n">
        <v>284.7</v>
      </c>
      <c r="I13" s="14" t="n">
        <v>709</v>
      </c>
      <c r="J13" s="14" t="n">
        <v>45</v>
      </c>
      <c r="K13" s="14" t="n">
        <v>587</v>
      </c>
      <c r="L13" s="14" t="n">
        <v>35.8</v>
      </c>
    </row>
    <row r="14">
      <c r="A14" s="6" t="inlineStr">
        <is>
          <t>dm_20250612_secano_general_r5</t>
        </is>
      </c>
      <c r="B14" s="13" t="n">
        <v>45820</v>
      </c>
      <c r="C14" s="12" t="n"/>
      <c r="D14" s="6" t="inlineStr">
        <is>
          <t>Secano</t>
        </is>
      </c>
      <c r="E14" s="6" t="inlineStr">
        <is>
          <t>GENERAL</t>
        </is>
      </c>
      <c r="F14" s="6" t="inlineStr">
        <is>
          <t>R5</t>
        </is>
      </c>
      <c r="G14" s="14" t="n">
        <v>320</v>
      </c>
      <c r="H14" s="14" t="n"/>
      <c r="I14" s="14" t="n"/>
      <c r="J14" s="14" t="n"/>
      <c r="K14" s="14" t="n"/>
      <c r="L14" s="14" t="n"/>
    </row>
    <row r="15">
      <c r="A15" s="6" t="inlineStr">
        <is>
          <t>dm_20250916_secano_m0_r1</t>
        </is>
      </c>
      <c r="B15" s="13" t="n">
        <v>45916</v>
      </c>
      <c r="C15" s="12" t="n">
        <v>9</v>
      </c>
      <c r="D15" s="6" t="inlineStr">
        <is>
          <t>Secano</t>
        </is>
      </c>
      <c r="E15" s="6" t="inlineStr">
        <is>
          <t>M0</t>
        </is>
      </c>
      <c r="F15" s="6" t="inlineStr">
        <is>
          <t>R1</t>
        </is>
      </c>
      <c r="G15" s="14" t="n"/>
      <c r="H15" s="14" t="n">
        <v>671</v>
      </c>
      <c r="I15" s="14" t="n">
        <v>74.5</v>
      </c>
      <c r="J15" s="14" t="n">
        <v>97</v>
      </c>
      <c r="K15" s="14" t="n">
        <v>22</v>
      </c>
      <c r="L15" s="14" t="n">
        <v>29.5</v>
      </c>
    </row>
    <row r="16">
      <c r="A16" s="6" t="inlineStr">
        <is>
          <t>dm_20250916_secano_m1_r1</t>
        </is>
      </c>
      <c r="B16" s="13" t="n">
        <v>45916</v>
      </c>
      <c r="C16" s="12" t="n">
        <v>10</v>
      </c>
      <c r="D16" s="6" t="inlineStr">
        <is>
          <t>Secano</t>
        </is>
      </c>
      <c r="E16" s="6" t="inlineStr">
        <is>
          <t>M1</t>
        </is>
      </c>
      <c r="F16" s="6" t="inlineStr">
        <is>
          <t>R1</t>
        </is>
      </c>
      <c r="G16" s="14" t="n"/>
      <c r="H16" s="14" t="n">
        <v>1620</v>
      </c>
      <c r="I16" s="14" t="n">
        <v>126</v>
      </c>
      <c r="J16" s="14" t="n">
        <v>31</v>
      </c>
      <c r="K16" s="14" t="n">
        <v>22</v>
      </c>
      <c r="L16" s="14" t="n">
        <v>17.5</v>
      </c>
    </row>
    <row r="17">
      <c r="A17" s="6" t="inlineStr">
        <is>
          <t>dm_20250916_secano_m2_r1</t>
        </is>
      </c>
      <c r="B17" s="13" t="n">
        <v>45916</v>
      </c>
      <c r="C17" s="12" t="n">
        <v>11</v>
      </c>
      <c r="D17" s="6" t="inlineStr">
        <is>
          <t>Secano</t>
        </is>
      </c>
      <c r="E17" s="6" t="inlineStr">
        <is>
          <t>M2</t>
        </is>
      </c>
      <c r="F17" s="6" t="inlineStr">
        <is>
          <t>R1</t>
        </is>
      </c>
      <c r="G17" s="14" t="n"/>
      <c r="H17" s="14" t="n">
        <v>1699</v>
      </c>
      <c r="I17" s="14" t="n">
        <v>131.8</v>
      </c>
      <c r="J17" s="14" t="n">
        <v>56</v>
      </c>
      <c r="K17" s="14" t="n">
        <v>25</v>
      </c>
      <c r="L17" s="14" t="n">
        <v>19</v>
      </c>
    </row>
    <row r="18">
      <c r="A18" s="6" t="inlineStr">
        <is>
          <t>dm_20250916_secano_m3_r1</t>
        </is>
      </c>
      <c r="B18" s="13" t="n">
        <v>45916</v>
      </c>
      <c r="C18" s="12" t="n">
        <v>12</v>
      </c>
      <c r="D18" s="6" t="inlineStr">
        <is>
          <t>Secano</t>
        </is>
      </c>
      <c r="E18" s="6" t="inlineStr">
        <is>
          <t>M3</t>
        </is>
      </c>
      <c r="F18" s="6" t="inlineStr">
        <is>
          <t>R1</t>
        </is>
      </c>
      <c r="G18" s="14" t="n"/>
      <c r="H18" s="14" t="n">
        <v>1328</v>
      </c>
      <c r="I18" s="14" t="n">
        <v>130</v>
      </c>
      <c r="J18" s="14" t="n">
        <v>29</v>
      </c>
      <c r="K18" s="14" t="n">
        <v>14</v>
      </c>
      <c r="L18" s="14" t="n">
        <v>10.8</v>
      </c>
    </row>
    <row r="19">
      <c r="A19" s="6" t="inlineStr">
        <is>
          <t>dm_20250916_secano_m4_r1</t>
        </is>
      </c>
      <c r="B19" s="13" t="n">
        <v>45916</v>
      </c>
      <c r="C19" s="12" t="n">
        <v>13</v>
      </c>
      <c r="D19" s="6" t="inlineStr">
        <is>
          <t>Secano</t>
        </is>
      </c>
      <c r="E19" s="6" t="inlineStr">
        <is>
          <t>M4</t>
        </is>
      </c>
      <c r="F19" s="6" t="inlineStr">
        <is>
          <t>R1</t>
        </is>
      </c>
      <c r="G19" s="14" t="n"/>
      <c r="H19" s="14" t="n">
        <v>803</v>
      </c>
      <c r="I19" s="14" t="n">
        <v>108.6</v>
      </c>
      <c r="J19" s="14" t="n">
        <v>24</v>
      </c>
      <c r="K19" s="14" t="n">
        <v>37</v>
      </c>
      <c r="L19" s="14" t="n">
        <v>34.1</v>
      </c>
    </row>
    <row r="20">
      <c r="A20" s="6" t="inlineStr">
        <is>
          <t>dm_20250916_secano_m5_r1</t>
        </is>
      </c>
      <c r="B20" s="13" t="n">
        <v>45916</v>
      </c>
      <c r="C20" s="12" t="n">
        <v>14</v>
      </c>
      <c r="D20" s="6" t="inlineStr">
        <is>
          <t>Secano</t>
        </is>
      </c>
      <c r="E20" s="6" t="inlineStr">
        <is>
          <t>M5</t>
        </is>
      </c>
      <c r="F20" s="6" t="inlineStr">
        <is>
          <t>R1</t>
        </is>
      </c>
      <c r="G20" s="14" t="n"/>
      <c r="H20" s="14" t="n">
        <v>540</v>
      </c>
      <c r="I20" s="14" t="n">
        <v>66</v>
      </c>
      <c r="J20" s="14" t="n">
        <v>92</v>
      </c>
      <c r="K20" s="14" t="n">
        <v>16</v>
      </c>
      <c r="L20" s="14" t="n">
        <v>24.2</v>
      </c>
    </row>
    <row r="21">
      <c r="A21" s="6" t="inlineStr">
        <is>
          <t>dm_20250916_secano_m3_r2</t>
        </is>
      </c>
      <c r="B21" s="13" t="n">
        <v>45916</v>
      </c>
      <c r="C21" s="12" t="n">
        <v>15</v>
      </c>
      <c r="D21" s="6" t="inlineStr">
        <is>
          <t>Secano</t>
        </is>
      </c>
      <c r="E21" s="6" t="inlineStr">
        <is>
          <t>M3</t>
        </is>
      </c>
      <c r="F21" s="6" t="inlineStr">
        <is>
          <t>R2</t>
        </is>
      </c>
      <c r="G21" s="14" t="n"/>
      <c r="H21" s="14" t="n">
        <v>1378</v>
      </c>
      <c r="I21" s="14" t="n">
        <v>137.2</v>
      </c>
      <c r="J21" s="14" t="n">
        <v>9</v>
      </c>
      <c r="K21" s="14" t="n">
        <v>27</v>
      </c>
      <c r="L21" s="14" t="n">
        <v>19.7</v>
      </c>
    </row>
    <row r="22">
      <c r="A22" s="6" t="inlineStr">
        <is>
          <t>dm_20250916_secano_m2_r2</t>
        </is>
      </c>
      <c r="B22" s="13" t="n">
        <v>45916</v>
      </c>
      <c r="C22" s="12" t="n">
        <v>16</v>
      </c>
      <c r="D22" s="6" t="inlineStr">
        <is>
          <t>Secano</t>
        </is>
      </c>
      <c r="E22" s="6" t="inlineStr">
        <is>
          <t>M2</t>
        </is>
      </c>
      <c r="F22" s="6" t="inlineStr">
        <is>
          <t>R2</t>
        </is>
      </c>
      <c r="G22" s="14" t="n"/>
      <c r="H22" s="14" t="n">
        <v>1980</v>
      </c>
      <c r="I22" s="14" t="n">
        <v>86</v>
      </c>
      <c r="J22" s="14" t="n">
        <v>65</v>
      </c>
      <c r="K22" s="14" t="n">
        <v>19</v>
      </c>
      <c r="L22" s="14" t="n">
        <v>22.1</v>
      </c>
    </row>
    <row r="23">
      <c r="A23" s="6" t="inlineStr">
        <is>
          <t>dm_20250916_secano_m4_r2</t>
        </is>
      </c>
      <c r="B23" s="13" t="n">
        <v>45916</v>
      </c>
      <c r="C23" s="12" t="n">
        <v>17</v>
      </c>
      <c r="D23" s="6" t="inlineStr">
        <is>
          <t>Secano</t>
        </is>
      </c>
      <c r="E23" s="6" t="inlineStr">
        <is>
          <t>M4</t>
        </is>
      </c>
      <c r="F23" s="6" t="inlineStr">
        <is>
          <t>R2</t>
        </is>
      </c>
      <c r="G23" s="14" t="n"/>
      <c r="H23" s="14" t="n">
        <v>959</v>
      </c>
      <c r="I23" s="14" t="n">
        <v>77</v>
      </c>
      <c r="J23" s="14" t="n">
        <v>55</v>
      </c>
      <c r="K23" s="14" t="n">
        <v>18</v>
      </c>
      <c r="L23" s="14" t="n">
        <v>23.4</v>
      </c>
    </row>
    <row r="24">
      <c r="A24" s="6" t="inlineStr">
        <is>
          <t>dm_20250916_secano_m0_r2</t>
        </is>
      </c>
      <c r="B24" s="13" t="n">
        <v>45916</v>
      </c>
      <c r="C24" s="12" t="n">
        <v>18</v>
      </c>
      <c r="D24" s="6" t="inlineStr">
        <is>
          <t>Secano</t>
        </is>
      </c>
      <c r="E24" s="6" t="inlineStr">
        <is>
          <t>M0</t>
        </is>
      </c>
      <c r="F24" s="6" t="inlineStr">
        <is>
          <t>R2</t>
        </is>
      </c>
      <c r="G24" s="14" t="n"/>
      <c r="H24" s="14" t="n">
        <v>466</v>
      </c>
      <c r="I24" s="14" t="n">
        <v>85</v>
      </c>
      <c r="J24" s="14" t="n">
        <v>76</v>
      </c>
      <c r="K24" s="14" t="n">
        <v>25</v>
      </c>
      <c r="L24" s="14" t="n">
        <v>29.4</v>
      </c>
    </row>
    <row r="25">
      <c r="A25" s="6" t="inlineStr">
        <is>
          <t>dm_20250916_secano_m1_r2</t>
        </is>
      </c>
      <c r="B25" s="13" t="n">
        <v>45916</v>
      </c>
      <c r="C25" s="12" t="n">
        <v>19</v>
      </c>
      <c r="D25" s="6" t="inlineStr">
        <is>
          <t>Secano</t>
        </is>
      </c>
      <c r="E25" s="6" t="inlineStr">
        <is>
          <t>M1</t>
        </is>
      </c>
      <c r="F25" s="6" t="inlineStr">
        <is>
          <t>R2</t>
        </is>
      </c>
      <c r="G25" s="14" t="n"/>
      <c r="H25" s="14" t="n">
        <v>1735</v>
      </c>
      <c r="I25" s="14" t="n">
        <v>110.6</v>
      </c>
      <c r="J25" s="14" t="n">
        <v>42</v>
      </c>
      <c r="K25" s="14" t="n">
        <v>23.3</v>
      </c>
      <c r="L25" s="14" t="n">
        <v>21.1</v>
      </c>
    </row>
    <row r="26">
      <c r="A26" s="6" t="inlineStr">
        <is>
          <t>dm_20250916_secano_m5_r2</t>
        </is>
      </c>
      <c r="B26" s="13" t="n">
        <v>45916</v>
      </c>
      <c r="C26" s="12" t="n">
        <v>20</v>
      </c>
      <c r="D26" s="6" t="inlineStr">
        <is>
          <t>Secano</t>
        </is>
      </c>
      <c r="E26" s="6" t="inlineStr">
        <is>
          <t>M5</t>
        </is>
      </c>
      <c r="F26" s="6" t="inlineStr">
        <is>
          <t>R2</t>
        </is>
      </c>
      <c r="G26" s="14" t="n"/>
      <c r="H26" s="14" t="n">
        <v>716</v>
      </c>
      <c r="I26" s="14" t="n">
        <v>104.9</v>
      </c>
      <c r="J26" s="14" t="n">
        <v>8</v>
      </c>
      <c r="K26" s="14" t="n">
        <v>24</v>
      </c>
      <c r="L26" s="14" t="n">
        <v>22.9</v>
      </c>
    </row>
    <row r="27">
      <c r="A27" s="6" t="inlineStr">
        <is>
          <t>dm_20250916_secano_m3_r3</t>
        </is>
      </c>
      <c r="B27" s="13" t="n">
        <v>45916</v>
      </c>
      <c r="C27" s="12" t="n">
        <v>21</v>
      </c>
      <c r="D27" s="6" t="inlineStr">
        <is>
          <t>Secano</t>
        </is>
      </c>
      <c r="E27" s="6" t="inlineStr">
        <is>
          <t>M3</t>
        </is>
      </c>
      <c r="F27" s="6" t="inlineStr">
        <is>
          <t>R3</t>
        </is>
      </c>
      <c r="G27" s="14" t="n"/>
      <c r="H27" s="14" t="n">
        <v>1220</v>
      </c>
      <c r="I27" s="14" t="n">
        <v>106.3</v>
      </c>
      <c r="J27" s="14" t="n">
        <v>133</v>
      </c>
      <c r="K27" s="14" t="n">
        <v>21</v>
      </c>
      <c r="L27" s="14" t="n">
        <v>19.8</v>
      </c>
    </row>
    <row r="28">
      <c r="A28" s="6" t="inlineStr">
        <is>
          <t>dm_20250916_secano_m4_r3</t>
        </is>
      </c>
      <c r="B28" s="13" t="n">
        <v>45916</v>
      </c>
      <c r="C28" s="12" t="n">
        <v>22</v>
      </c>
      <c r="D28" s="6" t="inlineStr">
        <is>
          <t>Secano</t>
        </is>
      </c>
      <c r="E28" s="6" t="inlineStr">
        <is>
          <t>M4</t>
        </is>
      </c>
      <c r="F28" s="6" t="inlineStr">
        <is>
          <t>R3</t>
        </is>
      </c>
      <c r="G28" s="14" t="n"/>
      <c r="H28" s="14" t="n">
        <v>1038</v>
      </c>
      <c r="I28" s="14" t="n">
        <v>146.3</v>
      </c>
      <c r="J28" s="14" t="n">
        <v>117</v>
      </c>
      <c r="K28" s="14" t="n">
        <v>27</v>
      </c>
      <c r="L28" s="14" t="n">
        <v>18.5</v>
      </c>
    </row>
    <row r="29">
      <c r="A29" s="6" t="inlineStr">
        <is>
          <t>dm_20250916_secano_m0_r3</t>
        </is>
      </c>
      <c r="B29" s="13" t="n">
        <v>45916</v>
      </c>
      <c r="C29" s="12" t="n">
        <v>23</v>
      </c>
      <c r="D29" s="6" t="inlineStr">
        <is>
          <t>Secano</t>
        </is>
      </c>
      <c r="E29" s="6" t="inlineStr">
        <is>
          <t>M0</t>
        </is>
      </c>
      <c r="F29" s="6" t="inlineStr">
        <is>
          <t>R3</t>
        </is>
      </c>
      <c r="G29" s="14" t="n"/>
      <c r="H29" s="14" t="n">
        <v>581</v>
      </c>
      <c r="I29" s="14" t="n">
        <v>65.7</v>
      </c>
      <c r="J29" s="14" t="n">
        <v>51</v>
      </c>
      <c r="K29" s="14" t="n">
        <v>19</v>
      </c>
      <c r="L29" s="14" t="n">
        <v>28.9</v>
      </c>
    </row>
    <row r="30">
      <c r="A30" s="6" t="inlineStr">
        <is>
          <t>dm_20250916_secano_m1_r3</t>
        </is>
      </c>
      <c r="B30" s="13" t="n">
        <v>45916</v>
      </c>
      <c r="C30" s="12" t="n">
        <v>24</v>
      </c>
      <c r="D30" s="6" t="inlineStr">
        <is>
          <t>Secano</t>
        </is>
      </c>
      <c r="E30" s="6" t="inlineStr">
        <is>
          <t>M1</t>
        </is>
      </c>
      <c r="F30" s="6" t="inlineStr">
        <is>
          <t>R3</t>
        </is>
      </c>
      <c r="G30" s="14" t="n"/>
      <c r="H30" s="14" t="n">
        <v>1854</v>
      </c>
      <c r="I30" s="14" t="n">
        <v>137.5</v>
      </c>
      <c r="J30" s="14" t="n">
        <v>66</v>
      </c>
      <c r="K30" s="14" t="n">
        <v>25</v>
      </c>
      <c r="L30" s="14" t="n">
        <v>18.2</v>
      </c>
    </row>
    <row r="31">
      <c r="A31" s="6" t="inlineStr">
        <is>
          <t>dm_20250916_secano_m5_r3</t>
        </is>
      </c>
      <c r="B31" s="13" t="n">
        <v>45916</v>
      </c>
      <c r="C31" s="12" t="n">
        <v>25</v>
      </c>
      <c r="D31" s="6" t="inlineStr">
        <is>
          <t>Secano</t>
        </is>
      </c>
      <c r="E31" s="6" t="inlineStr">
        <is>
          <t>M5</t>
        </is>
      </c>
      <c r="F31" s="6" t="inlineStr">
        <is>
          <t>R3</t>
        </is>
      </c>
      <c r="G31" s="14" t="n"/>
      <c r="H31" s="14" t="n">
        <v>640</v>
      </c>
      <c r="I31" s="14" t="n">
        <v>105.4</v>
      </c>
      <c r="J31" s="14" t="n">
        <v>45</v>
      </c>
      <c r="K31" s="14" t="n">
        <v>26.1</v>
      </c>
      <c r="L31" s="14" t="n">
        <v>24.8</v>
      </c>
    </row>
    <row r="32">
      <c r="A32" s="6" t="inlineStr">
        <is>
          <t>dm_20250916_secano_m2_r3</t>
        </is>
      </c>
      <c r="B32" s="13" t="n">
        <v>45916</v>
      </c>
      <c r="C32" s="12" t="n">
        <v>26</v>
      </c>
      <c r="D32" s="6" t="inlineStr">
        <is>
          <t>Secano</t>
        </is>
      </c>
      <c r="E32" s="6" t="inlineStr">
        <is>
          <t>M2</t>
        </is>
      </c>
      <c r="F32" s="6" t="inlineStr">
        <is>
          <t>R3</t>
        </is>
      </c>
      <c r="G32" s="14" t="n"/>
      <c r="H32" s="14" t="n">
        <v>1495</v>
      </c>
      <c r="I32" s="14" t="n">
        <v>179.9</v>
      </c>
      <c r="J32" s="14" t="n">
        <v>27</v>
      </c>
      <c r="K32" s="14" t="n">
        <v>70</v>
      </c>
      <c r="L32" s="14" t="n">
        <v>38.9</v>
      </c>
    </row>
    <row r="33">
      <c r="A33" s="6" t="inlineStr">
        <is>
          <t>dm_20250916_secano_m1_r4</t>
        </is>
      </c>
      <c r="B33" s="13" t="n">
        <v>45916</v>
      </c>
      <c r="C33" s="12" t="n">
        <v>27</v>
      </c>
      <c r="D33" s="6" t="inlineStr">
        <is>
          <t>Secano</t>
        </is>
      </c>
      <c r="E33" s="6" t="inlineStr">
        <is>
          <t>M1</t>
        </is>
      </c>
      <c r="F33" s="6" t="inlineStr">
        <is>
          <t>R4</t>
        </is>
      </c>
      <c r="G33" s="14" t="n"/>
      <c r="H33" s="14" t="n">
        <v>1408</v>
      </c>
      <c r="I33" s="14" t="n">
        <v>136.9</v>
      </c>
      <c r="J33" s="14" t="n">
        <v>107</v>
      </c>
      <c r="K33" s="14" t="n">
        <v>26</v>
      </c>
      <c r="L33" s="14" t="n">
        <v>19</v>
      </c>
    </row>
    <row r="34">
      <c r="A34" s="6" t="inlineStr">
        <is>
          <t>dm_20250916_secano_m0_r4</t>
        </is>
      </c>
      <c r="B34" s="13" t="n">
        <v>45916</v>
      </c>
      <c r="C34" s="12" t="n">
        <v>28</v>
      </c>
      <c r="D34" s="6" t="inlineStr">
        <is>
          <t>Secano</t>
        </is>
      </c>
      <c r="E34" s="6" t="inlineStr">
        <is>
          <t>M0</t>
        </is>
      </c>
      <c r="F34" s="6" t="inlineStr">
        <is>
          <t>R4</t>
        </is>
      </c>
      <c r="G34" s="14" t="n"/>
      <c r="H34" s="14" t="n">
        <v>649</v>
      </c>
      <c r="I34" s="14" t="n">
        <v>113.9</v>
      </c>
      <c r="J34" s="14" t="n">
        <v>78</v>
      </c>
      <c r="K34" s="14" t="n">
        <v>32</v>
      </c>
      <c r="L34" s="14" t="n">
        <v>28.1</v>
      </c>
    </row>
    <row r="35">
      <c r="A35" s="6" t="inlineStr">
        <is>
          <t>dm_20250916_secano_m5_r4</t>
        </is>
      </c>
      <c r="B35" s="13" t="n">
        <v>45916</v>
      </c>
      <c r="C35" s="12" t="n">
        <v>29</v>
      </c>
      <c r="D35" s="6" t="inlineStr">
        <is>
          <t>Secano</t>
        </is>
      </c>
      <c r="E35" s="6" t="inlineStr">
        <is>
          <t>M5</t>
        </is>
      </c>
      <c r="F35" s="6" t="inlineStr">
        <is>
          <t>R4</t>
        </is>
      </c>
      <c r="G35" s="14" t="n"/>
      <c r="H35" s="14" t="n">
        <v>551</v>
      </c>
      <c r="I35" s="14" t="n">
        <v>117.1</v>
      </c>
      <c r="J35" s="14" t="n">
        <v>43</v>
      </c>
      <c r="K35" s="14" t="n">
        <v>27</v>
      </c>
      <c r="L35" s="14" t="n">
        <v>23.1</v>
      </c>
    </row>
    <row r="36">
      <c r="A36" s="6" t="inlineStr">
        <is>
          <t>dm_20250916_secano_m4_r4</t>
        </is>
      </c>
      <c r="B36" s="13" t="n">
        <v>45916</v>
      </c>
      <c r="C36" s="12" t="n">
        <v>30</v>
      </c>
      <c r="D36" s="6" t="inlineStr">
        <is>
          <t>Secano</t>
        </is>
      </c>
      <c r="E36" s="6" t="inlineStr">
        <is>
          <t>M4</t>
        </is>
      </c>
      <c r="F36" s="6" t="inlineStr">
        <is>
          <t>R4</t>
        </is>
      </c>
      <c r="G36" s="14" t="n"/>
      <c r="H36" s="14" t="n">
        <v>971</v>
      </c>
      <c r="I36" s="14" t="n">
        <v>196.7</v>
      </c>
      <c r="J36" s="14" t="n">
        <v>83</v>
      </c>
      <c r="K36" s="14" t="n">
        <v>39</v>
      </c>
      <c r="L36" s="14" t="n">
        <v>19.8</v>
      </c>
    </row>
    <row r="37">
      <c r="A37" s="6" t="inlineStr">
        <is>
          <t>dm_20250916_secano_m3_r4</t>
        </is>
      </c>
      <c r="B37" s="13" t="n">
        <v>45916</v>
      </c>
      <c r="C37" s="12" t="n">
        <v>31</v>
      </c>
      <c r="D37" s="6" t="inlineStr">
        <is>
          <t>Secano</t>
        </is>
      </c>
      <c r="E37" s="6" t="inlineStr">
        <is>
          <t>M3</t>
        </is>
      </c>
      <c r="F37" s="6" t="inlineStr">
        <is>
          <t>R4</t>
        </is>
      </c>
      <c r="G37" s="14" t="n"/>
      <c r="H37" s="14" t="n">
        <v>1360</v>
      </c>
      <c r="I37" s="14" t="n">
        <v>170.8</v>
      </c>
      <c r="J37" s="14" t="n">
        <v>87</v>
      </c>
      <c r="K37" s="14" t="n">
        <v>34</v>
      </c>
      <c r="L37" s="14" t="n">
        <v>19.9</v>
      </c>
    </row>
    <row r="38">
      <c r="A38" s="6" t="inlineStr">
        <is>
          <t>dm_20250916_secano_m2_r4</t>
        </is>
      </c>
      <c r="B38" s="13" t="n">
        <v>45916</v>
      </c>
      <c r="C38" s="12" t="n">
        <v>32</v>
      </c>
      <c r="D38" s="6" t="inlineStr">
        <is>
          <t>Secano</t>
        </is>
      </c>
      <c r="E38" s="6" t="inlineStr">
        <is>
          <t>M2</t>
        </is>
      </c>
      <c r="F38" s="6" t="inlineStr">
        <is>
          <t>R4</t>
        </is>
      </c>
      <c r="G38" s="14" t="n"/>
      <c r="H38" s="14" t="n">
        <v>1450</v>
      </c>
      <c r="I38" s="14" t="n">
        <v>119.5</v>
      </c>
      <c r="J38" s="14" t="n">
        <v>18</v>
      </c>
      <c r="K38" s="14" t="n">
        <v>23</v>
      </c>
      <c r="L38" s="14" t="n">
        <v>19.2</v>
      </c>
    </row>
    <row r="39">
      <c r="A39" s="6" t="inlineStr">
        <is>
          <t>dm_20250916_riego_m0_r1</t>
        </is>
      </c>
      <c r="B39" s="13" t="n">
        <v>45916</v>
      </c>
      <c r="C39" s="12" t="n">
        <v>33</v>
      </c>
      <c r="D39" s="6" t="inlineStr">
        <is>
          <t>Riego</t>
        </is>
      </c>
      <c r="E39" s="6" t="inlineStr">
        <is>
          <t>M0</t>
        </is>
      </c>
      <c r="F39" s="6" t="inlineStr">
        <is>
          <t>R1</t>
        </is>
      </c>
      <c r="G39" s="14" t="n"/>
      <c r="H39" s="14" t="n">
        <v>725</v>
      </c>
      <c r="I39" s="14" t="n">
        <v>70</v>
      </c>
      <c r="J39" s="14" t="n">
        <v>17</v>
      </c>
      <c r="K39" s="14" t="n">
        <v>19</v>
      </c>
      <c r="L39" s="14" t="n">
        <v>27.1</v>
      </c>
    </row>
    <row r="40">
      <c r="A40" s="6" t="inlineStr">
        <is>
          <t>dm_20250916_riego_m1_r1</t>
        </is>
      </c>
      <c r="B40" s="13" t="n">
        <v>45916</v>
      </c>
      <c r="C40" s="12" t="n">
        <v>34</v>
      </c>
      <c r="D40" s="6" t="inlineStr">
        <is>
          <t>Riego</t>
        </is>
      </c>
      <c r="E40" s="6" t="inlineStr">
        <is>
          <t>M1</t>
        </is>
      </c>
      <c r="F40" s="6" t="inlineStr">
        <is>
          <t>R1</t>
        </is>
      </c>
      <c r="G40" s="14" t="n"/>
      <c r="H40" s="14" t="n">
        <v>1591</v>
      </c>
      <c r="I40" s="14" t="n">
        <v>101.7</v>
      </c>
      <c r="J40" s="14" t="n">
        <v>94</v>
      </c>
      <c r="K40" s="14" t="n">
        <v>20</v>
      </c>
      <c r="L40" s="14" t="n">
        <v>19.7</v>
      </c>
    </row>
    <row r="41">
      <c r="A41" s="6" t="inlineStr">
        <is>
          <t>dm_20250916_riego_m2_r1</t>
        </is>
      </c>
      <c r="B41" s="13" t="n">
        <v>45916</v>
      </c>
      <c r="C41" s="12" t="n">
        <v>35</v>
      </c>
      <c r="D41" s="6" t="inlineStr">
        <is>
          <t>Riego</t>
        </is>
      </c>
      <c r="E41" s="6" t="inlineStr">
        <is>
          <t>M2</t>
        </is>
      </c>
      <c r="F41" s="6" t="inlineStr">
        <is>
          <t>R1</t>
        </is>
      </c>
      <c r="G41" s="14" t="n"/>
      <c r="H41" s="14" t="n">
        <v>1300</v>
      </c>
      <c r="I41" s="14" t="n">
        <v>77.8</v>
      </c>
      <c r="J41" s="14" t="n">
        <v>10</v>
      </c>
      <c r="K41" s="14" t="n">
        <v>18</v>
      </c>
      <c r="L41" s="14" t="n">
        <v>23.1</v>
      </c>
    </row>
    <row r="42">
      <c r="A42" s="6" t="inlineStr">
        <is>
          <t>dm_20250916_riego_m3_r1</t>
        </is>
      </c>
      <c r="B42" s="13" t="n">
        <v>45916</v>
      </c>
      <c r="C42" s="12" t="n">
        <v>36</v>
      </c>
      <c r="D42" s="6" t="inlineStr">
        <is>
          <t>Riego</t>
        </is>
      </c>
      <c r="E42" s="6" t="inlineStr">
        <is>
          <t>M3</t>
        </is>
      </c>
      <c r="F42" s="6" t="inlineStr">
        <is>
          <t>R1</t>
        </is>
      </c>
      <c r="G42" s="14" t="n"/>
      <c r="H42" s="14" t="n">
        <v>1202</v>
      </c>
      <c r="I42" s="14" t="n">
        <v>148.4</v>
      </c>
      <c r="J42" s="14" t="n">
        <v>111</v>
      </c>
      <c r="K42" s="14" t="n">
        <v>29</v>
      </c>
      <c r="L42" s="14" t="n">
        <v>19.5</v>
      </c>
    </row>
    <row r="43">
      <c r="A43" s="6" t="inlineStr">
        <is>
          <t>dm_20250916_riego_m4_r1</t>
        </is>
      </c>
      <c r="B43" s="13" t="n">
        <v>45916</v>
      </c>
      <c r="C43" s="12" t="n">
        <v>37</v>
      </c>
      <c r="D43" s="6" t="inlineStr">
        <is>
          <t>Riego</t>
        </is>
      </c>
      <c r="E43" s="6" t="inlineStr">
        <is>
          <t>M4</t>
        </is>
      </c>
      <c r="F43" s="6" t="inlineStr">
        <is>
          <t>R1</t>
        </is>
      </c>
      <c r="G43" s="14" t="n"/>
      <c r="H43" s="14" t="n">
        <v>1214</v>
      </c>
      <c r="I43" s="14" t="n">
        <v>162.4</v>
      </c>
      <c r="J43" s="14" t="n">
        <v>61</v>
      </c>
      <c r="K43" s="14" t="n">
        <v>34</v>
      </c>
      <c r="L43" s="14" t="n">
        <v>20.9</v>
      </c>
    </row>
    <row r="44">
      <c r="A44" s="6" t="inlineStr">
        <is>
          <t>dm_20250916_riego_m5_r1</t>
        </is>
      </c>
      <c r="B44" s="13" t="n">
        <v>45916</v>
      </c>
      <c r="C44" s="12" t="n">
        <v>38</v>
      </c>
      <c r="D44" s="6" t="inlineStr">
        <is>
          <t>Riego</t>
        </is>
      </c>
      <c r="E44" s="6" t="inlineStr">
        <is>
          <t>M5</t>
        </is>
      </c>
      <c r="F44" s="6" t="inlineStr">
        <is>
          <t>R1</t>
        </is>
      </c>
      <c r="G44" s="14" t="n"/>
      <c r="H44" s="14" t="n">
        <v>724</v>
      </c>
      <c r="I44" s="14" t="n">
        <v>109.4</v>
      </c>
      <c r="J44" s="14" t="n">
        <v>67</v>
      </c>
      <c r="K44" s="14" t="n">
        <v>25</v>
      </c>
      <c r="L44" s="14" t="n">
        <v>22.9</v>
      </c>
    </row>
    <row r="45">
      <c r="A45" s="6" t="inlineStr">
        <is>
          <t>dm_20250916_riego_m3_r2</t>
        </is>
      </c>
      <c r="B45" s="13" t="n">
        <v>45916</v>
      </c>
      <c r="C45" s="12" t="n">
        <v>39</v>
      </c>
      <c r="D45" s="6" t="inlineStr">
        <is>
          <t>Riego</t>
        </is>
      </c>
      <c r="E45" s="6" t="inlineStr">
        <is>
          <t>M3</t>
        </is>
      </c>
      <c r="F45" s="6" t="inlineStr">
        <is>
          <t>R2</t>
        </is>
      </c>
      <c r="G45" s="14" t="n"/>
      <c r="H45" s="14" t="n">
        <v>839</v>
      </c>
      <c r="I45" s="14" t="n">
        <v>79.40000000000001</v>
      </c>
      <c r="J45" s="14" t="n">
        <v>68</v>
      </c>
      <c r="K45" s="14" t="n">
        <v>19</v>
      </c>
      <c r="L45" s="14" t="n">
        <v>23.9</v>
      </c>
    </row>
    <row r="46">
      <c r="A46" s="6" t="inlineStr">
        <is>
          <t>dm_20250916_riego_m2_r2</t>
        </is>
      </c>
      <c r="B46" s="13" t="n">
        <v>45916</v>
      </c>
      <c r="C46" s="12" t="n">
        <v>40</v>
      </c>
      <c r="D46" s="6" t="inlineStr">
        <is>
          <t>Riego</t>
        </is>
      </c>
      <c r="E46" s="6" t="inlineStr">
        <is>
          <t>M2</t>
        </is>
      </c>
      <c r="F46" s="6" t="inlineStr">
        <is>
          <t>R2</t>
        </is>
      </c>
      <c r="G46" s="14" t="n"/>
      <c r="H46" s="14" t="n">
        <v>1472</v>
      </c>
      <c r="I46" s="14" t="n">
        <v>117.3</v>
      </c>
      <c r="J46" s="14" t="n">
        <v>93</v>
      </c>
      <c r="K46" s="14" t="n">
        <v>24</v>
      </c>
      <c r="L46" s="14" t="n">
        <v>20.5</v>
      </c>
    </row>
    <row r="47">
      <c r="A47" s="6" t="inlineStr">
        <is>
          <t>dm_20250916_riego_m4_r2</t>
        </is>
      </c>
      <c r="B47" s="13" t="n">
        <v>45916</v>
      </c>
      <c r="C47" s="12" t="n">
        <v>41</v>
      </c>
      <c r="D47" s="6" t="inlineStr">
        <is>
          <t>Riego</t>
        </is>
      </c>
      <c r="E47" s="6" t="inlineStr">
        <is>
          <t>M4</t>
        </is>
      </c>
      <c r="F47" s="6" t="inlineStr">
        <is>
          <t>R2</t>
        </is>
      </c>
      <c r="G47" s="14" t="n"/>
      <c r="H47" s="14" t="n">
        <v>1085</v>
      </c>
      <c r="I47" s="14" t="n">
        <v>108.3</v>
      </c>
      <c r="J47" s="14" t="n">
        <v>33</v>
      </c>
      <c r="K47" s="14" t="n">
        <v>23</v>
      </c>
      <c r="L47" s="14" t="n">
        <v>21.2</v>
      </c>
    </row>
    <row r="48">
      <c r="A48" s="6" t="inlineStr">
        <is>
          <t>dm_20250916_riego_m0_r2</t>
        </is>
      </c>
      <c r="B48" s="13" t="n">
        <v>45916</v>
      </c>
      <c r="C48" s="12" t="n">
        <v>42</v>
      </c>
      <c r="D48" s="6" t="inlineStr">
        <is>
          <t>Riego</t>
        </is>
      </c>
      <c r="E48" s="6" t="inlineStr">
        <is>
          <t>M0</t>
        </is>
      </c>
      <c r="F48" s="6" t="inlineStr">
        <is>
          <t>R2</t>
        </is>
      </c>
      <c r="G48" s="14" t="n"/>
      <c r="H48" s="14" t="n">
        <v>597</v>
      </c>
      <c r="I48" s="14" t="n">
        <v>84.7</v>
      </c>
      <c r="J48" s="14" t="n">
        <v>34</v>
      </c>
      <c r="K48" s="14" t="n">
        <v>25</v>
      </c>
      <c r="L48" s="14" t="n">
        <v>29.5</v>
      </c>
    </row>
    <row r="49">
      <c r="A49" s="6" t="inlineStr">
        <is>
          <t>dm_20250916_riego_m1_r2</t>
        </is>
      </c>
      <c r="B49" s="13" t="n">
        <v>45916</v>
      </c>
      <c r="C49" s="12" t="n">
        <v>43</v>
      </c>
      <c r="D49" s="6" t="inlineStr">
        <is>
          <t>Riego</t>
        </is>
      </c>
      <c r="E49" s="6" t="inlineStr">
        <is>
          <t>M1</t>
        </is>
      </c>
      <c r="F49" s="6" t="inlineStr">
        <is>
          <t>R2</t>
        </is>
      </c>
      <c r="G49" s="14" t="n"/>
      <c r="H49" s="14" t="n">
        <v>1502</v>
      </c>
      <c r="I49" s="14" t="n">
        <v>105.9</v>
      </c>
      <c r="J49" s="14" t="n">
        <v>23</v>
      </c>
      <c r="K49" s="14" t="n">
        <v>21</v>
      </c>
      <c r="L49" s="14" t="n">
        <v>19.8</v>
      </c>
    </row>
    <row r="50">
      <c r="A50" s="6" t="inlineStr">
        <is>
          <t>dm_20250916_riego_m5_r2</t>
        </is>
      </c>
      <c r="B50" s="13" t="n">
        <v>45916</v>
      </c>
      <c r="C50" s="12" t="n">
        <v>44</v>
      </c>
      <c r="D50" s="6" t="inlineStr">
        <is>
          <t>Riego</t>
        </is>
      </c>
      <c r="E50" s="6" t="inlineStr">
        <is>
          <t>M5</t>
        </is>
      </c>
      <c r="F50" s="6" t="inlineStr">
        <is>
          <t>R2</t>
        </is>
      </c>
      <c r="G50" s="14" t="n"/>
      <c r="H50" s="14" t="n">
        <v>835</v>
      </c>
      <c r="I50" s="14" t="n">
        <v>121.6</v>
      </c>
      <c r="J50" s="14" t="n">
        <v>54</v>
      </c>
      <c r="K50" s="14" t="n">
        <v>29</v>
      </c>
      <c r="L50" s="14" t="n">
        <v>23.8</v>
      </c>
    </row>
    <row r="51">
      <c r="A51" s="6" t="inlineStr">
        <is>
          <t>dm_20250916_riego_m3_r3</t>
        </is>
      </c>
      <c r="B51" s="13" t="n">
        <v>45916</v>
      </c>
      <c r="C51" s="12" t="n">
        <v>45</v>
      </c>
      <c r="D51" s="6" t="inlineStr">
        <is>
          <t>Riego</t>
        </is>
      </c>
      <c r="E51" s="6" t="inlineStr">
        <is>
          <t>M3</t>
        </is>
      </c>
      <c r="F51" s="6" t="inlineStr">
        <is>
          <t>R3</t>
        </is>
      </c>
      <c r="G51" s="14" t="n"/>
      <c r="H51" s="14" t="n">
        <v>1110</v>
      </c>
      <c r="I51" s="14" t="n">
        <v>195.2</v>
      </c>
      <c r="J51" s="14" t="n">
        <v>85</v>
      </c>
      <c r="K51" s="14" t="n">
        <v>40.4</v>
      </c>
      <c r="L51" s="14" t="n">
        <v>20.7</v>
      </c>
    </row>
    <row r="52">
      <c r="A52" s="6" t="inlineStr">
        <is>
          <t>dm_20250916_riego_m4_r3</t>
        </is>
      </c>
      <c r="B52" s="13" t="n">
        <v>45916</v>
      </c>
      <c r="C52" s="12" t="n">
        <v>46</v>
      </c>
      <c r="D52" s="6" t="inlineStr">
        <is>
          <t>Riego</t>
        </is>
      </c>
      <c r="E52" s="6" t="inlineStr">
        <is>
          <t>M4</t>
        </is>
      </c>
      <c r="F52" s="6" t="inlineStr">
        <is>
          <t>R3</t>
        </is>
      </c>
      <c r="G52" s="14" t="n"/>
      <c r="H52" s="14" t="n">
        <v>1063</v>
      </c>
      <c r="I52" s="14" t="n">
        <v>126.9</v>
      </c>
      <c r="J52" s="14" t="n">
        <v>82</v>
      </c>
      <c r="K52" s="14" t="n">
        <v>28</v>
      </c>
      <c r="L52" s="14" t="n">
        <v>22.1</v>
      </c>
    </row>
    <row r="53">
      <c r="A53" s="6" t="inlineStr">
        <is>
          <t>dm_20250916_riego_m0_r3</t>
        </is>
      </c>
      <c r="B53" s="13" t="n">
        <v>45916</v>
      </c>
      <c r="C53" s="12" t="n">
        <v>47</v>
      </c>
      <c r="D53" s="6" t="inlineStr">
        <is>
          <t>Riego</t>
        </is>
      </c>
      <c r="E53" s="6" t="inlineStr">
        <is>
          <t>M0</t>
        </is>
      </c>
      <c r="F53" s="6" t="inlineStr">
        <is>
          <t>R3</t>
        </is>
      </c>
      <c r="G53" s="14" t="n"/>
      <c r="H53" s="14" t="n">
        <v>799</v>
      </c>
      <c r="I53" s="14" t="n">
        <v>96.40000000000001</v>
      </c>
      <c r="J53" s="14" t="n">
        <v>48</v>
      </c>
      <c r="K53" s="14" t="n">
        <v>22</v>
      </c>
      <c r="L53" s="14" t="n">
        <v>22.8</v>
      </c>
    </row>
    <row r="54">
      <c r="A54" s="6" t="inlineStr">
        <is>
          <t>dm_20250916_riego_m1_r3</t>
        </is>
      </c>
      <c r="B54" s="13" t="n">
        <v>45916</v>
      </c>
      <c r="C54" s="12" t="n">
        <v>48</v>
      </c>
      <c r="D54" s="6" t="inlineStr">
        <is>
          <t>Riego</t>
        </is>
      </c>
      <c r="E54" s="6" t="inlineStr">
        <is>
          <t>M1</t>
        </is>
      </c>
      <c r="F54" s="6" t="inlineStr">
        <is>
          <t>R3</t>
        </is>
      </c>
      <c r="G54" s="14" t="n"/>
      <c r="H54" s="14" t="n">
        <v>1566</v>
      </c>
      <c r="I54" s="14" t="n">
        <v>122.9</v>
      </c>
      <c r="J54" s="14" t="n">
        <v>58</v>
      </c>
      <c r="K54" s="14" t="n">
        <v>23</v>
      </c>
      <c r="L54" s="14" t="n">
        <v>18.7</v>
      </c>
    </row>
    <row r="55">
      <c r="A55" s="6" t="inlineStr">
        <is>
          <t>dm_20250916_riego_m5_r3</t>
        </is>
      </c>
      <c r="B55" s="13" t="n">
        <v>45916</v>
      </c>
      <c r="C55" s="12" t="n">
        <v>49</v>
      </c>
      <c r="D55" s="6" t="inlineStr">
        <is>
          <t>Riego</t>
        </is>
      </c>
      <c r="E55" s="6" t="inlineStr">
        <is>
          <t>M5</t>
        </is>
      </c>
      <c r="F55" s="6" t="inlineStr">
        <is>
          <t>R3</t>
        </is>
      </c>
      <c r="G55" s="14" t="n"/>
      <c r="H55" s="14" t="n">
        <v>1313</v>
      </c>
      <c r="I55" s="14" t="n">
        <v>105.6</v>
      </c>
      <c r="J55" s="14" t="n">
        <v>21</v>
      </c>
      <c r="K55" s="14" t="n">
        <v>25</v>
      </c>
      <c r="L55" s="14" t="n">
        <v>23.7</v>
      </c>
    </row>
    <row r="56">
      <c r="A56" s="6" t="inlineStr">
        <is>
          <t>dm_20250916_riego_m2_r3</t>
        </is>
      </c>
      <c r="B56" s="13" t="n">
        <v>45916</v>
      </c>
      <c r="C56" s="12" t="n">
        <v>50</v>
      </c>
      <c r="D56" s="6" t="inlineStr">
        <is>
          <t>Riego</t>
        </is>
      </c>
      <c r="E56" s="6" t="inlineStr">
        <is>
          <t>M2</t>
        </is>
      </c>
      <c r="F56" s="6" t="inlineStr">
        <is>
          <t>R3</t>
        </is>
      </c>
      <c r="G56" s="14" t="n"/>
      <c r="H56" s="14" t="n">
        <v>1519</v>
      </c>
      <c r="I56" s="14" t="n">
        <v>142.9</v>
      </c>
      <c r="J56" s="14" t="n">
        <v>91</v>
      </c>
      <c r="K56" s="14" t="n">
        <v>29</v>
      </c>
      <c r="L56" s="14" t="n">
        <v>20.3</v>
      </c>
    </row>
    <row r="57">
      <c r="A57" s="6" t="inlineStr">
        <is>
          <t>dm_20250916_riego_m1_r4</t>
        </is>
      </c>
      <c r="B57" s="13" t="n">
        <v>45916</v>
      </c>
      <c r="C57" s="12" t="n">
        <v>51</v>
      </c>
      <c r="D57" s="6" t="inlineStr">
        <is>
          <t>Riego</t>
        </is>
      </c>
      <c r="E57" s="6" t="inlineStr">
        <is>
          <t>M1</t>
        </is>
      </c>
      <c r="F57" s="6" t="inlineStr">
        <is>
          <t>R4</t>
        </is>
      </c>
      <c r="G57" s="14" t="n"/>
      <c r="H57" s="14" t="n">
        <v>1466</v>
      </c>
      <c r="I57" s="14" t="n">
        <v>174.9</v>
      </c>
      <c r="J57" s="14" t="n">
        <v>50</v>
      </c>
      <c r="K57" s="14" t="n">
        <v>29</v>
      </c>
      <c r="L57" s="14" t="n">
        <v>16.6</v>
      </c>
    </row>
    <row r="58">
      <c r="A58" s="6" t="inlineStr">
        <is>
          <t>dm_20250916_riego_m0_r4</t>
        </is>
      </c>
      <c r="B58" s="13" t="n">
        <v>45916</v>
      </c>
      <c r="C58" s="12" t="n">
        <v>52</v>
      </c>
      <c r="D58" s="6" t="inlineStr">
        <is>
          <t>Riego</t>
        </is>
      </c>
      <c r="E58" s="6" t="inlineStr">
        <is>
          <t>M0</t>
        </is>
      </c>
      <c r="F58" s="6" t="inlineStr">
        <is>
          <t>R4</t>
        </is>
      </c>
      <c r="G58" s="14" t="n"/>
      <c r="H58" s="14" t="n">
        <v>556</v>
      </c>
      <c r="I58" s="14" t="n">
        <v>82.8</v>
      </c>
      <c r="J58" s="14" t="n">
        <v>73</v>
      </c>
      <c r="K58" s="14" t="n">
        <v>23</v>
      </c>
      <c r="L58" s="14" t="n">
        <v>27.8</v>
      </c>
    </row>
    <row r="59">
      <c r="A59" s="6" t="inlineStr">
        <is>
          <t>dm_20250916_riego_m5_r4</t>
        </is>
      </c>
      <c r="B59" s="13" t="n">
        <v>45916</v>
      </c>
      <c r="C59" s="12" t="n">
        <v>53</v>
      </c>
      <c r="D59" s="6" t="inlineStr">
        <is>
          <t>Riego</t>
        </is>
      </c>
      <c r="E59" s="6" t="inlineStr">
        <is>
          <t>M5</t>
        </is>
      </c>
      <c r="F59" s="6" t="inlineStr">
        <is>
          <t>R4</t>
        </is>
      </c>
      <c r="G59" s="14" t="n"/>
      <c r="H59" s="14" t="n">
        <v>1018</v>
      </c>
      <c r="I59" s="14" t="n">
        <v>109.3</v>
      </c>
      <c r="J59" s="14" t="n">
        <v>52</v>
      </c>
      <c r="K59" s="14" t="n">
        <v>23</v>
      </c>
      <c r="L59" s="14" t="n">
        <v>21</v>
      </c>
    </row>
    <row r="60">
      <c r="A60" s="6" t="inlineStr">
        <is>
          <t>dm_20250916_riego_m4_r4</t>
        </is>
      </c>
      <c r="B60" s="13" t="n">
        <v>45916</v>
      </c>
      <c r="C60" s="12" t="n">
        <v>54</v>
      </c>
      <c r="D60" s="6" t="inlineStr">
        <is>
          <t>Riego</t>
        </is>
      </c>
      <c r="E60" s="6" t="inlineStr">
        <is>
          <t>M4</t>
        </is>
      </c>
      <c r="F60" s="6" t="inlineStr">
        <is>
          <t>R4</t>
        </is>
      </c>
      <c r="G60" s="14" t="n"/>
      <c r="H60" s="14" t="n">
        <v>1281</v>
      </c>
      <c r="I60" s="14" t="n">
        <v>103.3</v>
      </c>
      <c r="J60" s="14" t="n">
        <v>2</v>
      </c>
      <c r="K60" s="14" t="n">
        <v>23</v>
      </c>
      <c r="L60" s="14" t="n">
        <v>22.3</v>
      </c>
    </row>
    <row r="61">
      <c r="A61" s="6" t="inlineStr">
        <is>
          <t>dm_20250916_riego_m3_r4</t>
        </is>
      </c>
      <c r="B61" s="13" t="n">
        <v>45916</v>
      </c>
      <c r="C61" s="12" t="n">
        <v>55</v>
      </c>
      <c r="D61" s="6" t="inlineStr">
        <is>
          <t>Riego</t>
        </is>
      </c>
      <c r="E61" s="6" t="inlineStr">
        <is>
          <t>M3</t>
        </is>
      </c>
      <c r="F61" s="6" t="inlineStr">
        <is>
          <t>R4</t>
        </is>
      </c>
      <c r="G61" s="14" t="n"/>
      <c r="H61" s="14" t="n">
        <v>1138</v>
      </c>
      <c r="I61" s="14" t="n">
        <v>127.3</v>
      </c>
      <c r="J61" s="14" t="n">
        <v>99</v>
      </c>
      <c r="K61" s="14" t="n">
        <v>32</v>
      </c>
      <c r="L61" s="14" t="n">
        <v>25.1</v>
      </c>
    </row>
    <row r="62">
      <c r="A62" s="6" t="inlineStr">
        <is>
          <t>dm_20250916_riego_m2_r4</t>
        </is>
      </c>
      <c r="B62" s="13" t="n">
        <v>45916</v>
      </c>
      <c r="C62" s="12" t="n">
        <v>56</v>
      </c>
      <c r="D62" s="6" t="inlineStr">
        <is>
          <t>Riego</t>
        </is>
      </c>
      <c r="E62" s="6" t="inlineStr">
        <is>
          <t>M2</t>
        </is>
      </c>
      <c r="F62" s="6" t="inlineStr">
        <is>
          <t>R4</t>
        </is>
      </c>
      <c r="G62" s="14" t="n"/>
      <c r="H62" s="14" t="n">
        <v>1995</v>
      </c>
      <c r="I62" s="14" t="n">
        <v>136.1</v>
      </c>
      <c r="J62" s="14" t="n">
        <v>37</v>
      </c>
      <c r="K62" s="14" t="n">
        <v>24</v>
      </c>
      <c r="L62" s="14" t="n">
        <v>17.6</v>
      </c>
    </row>
    <row r="63">
      <c r="A63" s="6" t="inlineStr">
        <is>
          <t>dm_20251020_secano_m0_r1</t>
        </is>
      </c>
      <c r="B63" s="13" t="n">
        <v>45950</v>
      </c>
      <c r="C63" s="12" t="n">
        <v>57</v>
      </c>
      <c r="D63" s="6" t="inlineStr">
        <is>
          <t>Secano</t>
        </is>
      </c>
      <c r="E63" s="6" t="inlineStr">
        <is>
          <t>M0</t>
        </is>
      </c>
      <c r="F63" s="6" t="inlineStr">
        <is>
          <t>R1</t>
        </is>
      </c>
      <c r="G63" s="14" t="n"/>
      <c r="H63" s="14" t="n">
        <v>664</v>
      </c>
      <c r="I63" s="14" t="n">
        <v>329</v>
      </c>
      <c r="J63" s="14" t="n">
        <v>39</v>
      </c>
      <c r="K63" s="14" t="n">
        <v>112</v>
      </c>
      <c r="L63" s="14" t="n">
        <v>34</v>
      </c>
    </row>
    <row r="64">
      <c r="A64" s="6" t="inlineStr">
        <is>
          <t>dm_20251020_secano_m1_r1</t>
        </is>
      </c>
      <c r="B64" s="13" t="n">
        <v>45950</v>
      </c>
      <c r="C64" s="12" t="n">
        <v>58</v>
      </c>
      <c r="D64" s="6" t="inlineStr">
        <is>
          <t>Secano</t>
        </is>
      </c>
      <c r="E64" s="6" t="inlineStr">
        <is>
          <t>M1</t>
        </is>
      </c>
      <c r="F64" s="6" t="inlineStr">
        <is>
          <t>R1</t>
        </is>
      </c>
      <c r="G64" s="14" t="n"/>
      <c r="H64" s="14" t="n">
        <v>1864</v>
      </c>
      <c r="I64" s="14" t="n">
        <v>448</v>
      </c>
      <c r="J64" s="14" t="n">
        <v>57</v>
      </c>
      <c r="K64" s="14" t="n">
        <v>140</v>
      </c>
      <c r="L64" s="14" t="n">
        <v>31.3</v>
      </c>
    </row>
    <row r="65">
      <c r="A65" s="6" t="inlineStr">
        <is>
          <t>dm_20251020_secano_m2_r1</t>
        </is>
      </c>
      <c r="B65" s="13" t="n">
        <v>45950</v>
      </c>
      <c r="C65" s="12" t="n">
        <v>59</v>
      </c>
      <c r="D65" s="6" t="inlineStr">
        <is>
          <t>Secano</t>
        </is>
      </c>
      <c r="E65" s="6" t="inlineStr">
        <is>
          <t>M2</t>
        </is>
      </c>
      <c r="F65" s="6" t="inlineStr">
        <is>
          <t>R1</t>
        </is>
      </c>
      <c r="G65" s="14" t="n"/>
      <c r="H65" s="14" t="n">
        <v>1773</v>
      </c>
      <c r="I65" s="14" t="n">
        <v>404</v>
      </c>
      <c r="J65" s="14" t="n">
        <v>76</v>
      </c>
      <c r="K65" s="14" t="n">
        <v>110</v>
      </c>
      <c r="L65" s="14" t="n">
        <v>27.2</v>
      </c>
    </row>
    <row r="66">
      <c r="A66" s="6" t="inlineStr">
        <is>
          <t>dm_20251020_secano_m3_r1</t>
        </is>
      </c>
      <c r="B66" s="13" t="n">
        <v>45950</v>
      </c>
      <c r="C66" s="12" t="n">
        <v>60</v>
      </c>
      <c r="D66" s="6" t="inlineStr">
        <is>
          <t>Secano</t>
        </is>
      </c>
      <c r="E66" s="6" t="inlineStr">
        <is>
          <t>M3</t>
        </is>
      </c>
      <c r="F66" s="6" t="inlineStr">
        <is>
          <t>R1</t>
        </is>
      </c>
      <c r="G66" s="14" t="n"/>
      <c r="H66" s="14" t="n">
        <v>1562</v>
      </c>
      <c r="I66" s="14" t="n">
        <v>479</v>
      </c>
      <c r="J66" s="14" t="n">
        <v>17</v>
      </c>
      <c r="K66" s="14" t="n">
        <v>132</v>
      </c>
      <c r="L66" s="14" t="n">
        <v>27.6</v>
      </c>
    </row>
    <row r="67">
      <c r="A67" s="6" t="inlineStr">
        <is>
          <t>dm_20251020_secano_m4_r1</t>
        </is>
      </c>
      <c r="B67" s="13" t="n">
        <v>45950</v>
      </c>
      <c r="C67" s="12" t="n">
        <v>61</v>
      </c>
      <c r="D67" s="6" t="inlineStr">
        <is>
          <t>Secano</t>
        </is>
      </c>
      <c r="E67" s="6" t="inlineStr">
        <is>
          <t>M4</t>
        </is>
      </c>
      <c r="F67" s="6" t="inlineStr">
        <is>
          <t>R1</t>
        </is>
      </c>
      <c r="G67" s="14" t="n"/>
      <c r="H67" s="14" t="n">
        <v>1263</v>
      </c>
      <c r="I67" s="14" t="n">
        <v>392</v>
      </c>
      <c r="J67" s="14" t="n">
        <v>106</v>
      </c>
      <c r="K67" s="14" t="n">
        <v>116</v>
      </c>
      <c r="L67" s="14" t="n">
        <v>29.6</v>
      </c>
    </row>
    <row r="68">
      <c r="A68" s="6" t="inlineStr">
        <is>
          <t>dm_20251020_secano_m5_r1</t>
        </is>
      </c>
      <c r="B68" s="13" t="n">
        <v>45950</v>
      </c>
      <c r="C68" s="12" t="n">
        <v>62</v>
      </c>
      <c r="D68" s="6" t="inlineStr">
        <is>
          <t>Secano</t>
        </is>
      </c>
      <c r="E68" s="6" t="inlineStr">
        <is>
          <t>M5</t>
        </is>
      </c>
      <c r="F68" s="6" t="inlineStr">
        <is>
          <t>R1</t>
        </is>
      </c>
      <c r="G68" s="14" t="n"/>
      <c r="H68" s="14" t="n">
        <v>946</v>
      </c>
      <c r="I68" s="14" t="n">
        <v>258</v>
      </c>
      <c r="J68" s="14" t="n">
        <v>25</v>
      </c>
      <c r="K68" s="14" t="n">
        <v>105</v>
      </c>
      <c r="L68" s="14" t="n">
        <v>40.7</v>
      </c>
    </row>
    <row r="69">
      <c r="A69" s="6" t="inlineStr">
        <is>
          <t>dm_20251020_secano_m3_r2</t>
        </is>
      </c>
      <c r="B69" s="13" t="n">
        <v>45950</v>
      </c>
      <c r="C69" s="12" t="n">
        <v>63</v>
      </c>
      <c r="D69" s="6" t="inlineStr">
        <is>
          <t>Secano</t>
        </is>
      </c>
      <c r="E69" s="6" t="inlineStr">
        <is>
          <t>M3</t>
        </is>
      </c>
      <c r="F69" s="6" t="inlineStr">
        <is>
          <t>R2</t>
        </is>
      </c>
      <c r="G69" s="14" t="n"/>
      <c r="H69" s="14" t="n">
        <v>1941</v>
      </c>
      <c r="I69" s="14" t="n">
        <v>369</v>
      </c>
      <c r="J69" s="14" t="n">
        <v>1</v>
      </c>
      <c r="K69" s="14" t="n">
        <v>111</v>
      </c>
      <c r="L69" s="14" t="n">
        <v>30.1</v>
      </c>
    </row>
    <row r="70">
      <c r="A70" s="6" t="inlineStr">
        <is>
          <t>dm_20251020_secano_m2_r2</t>
        </is>
      </c>
      <c r="B70" s="13" t="n">
        <v>45950</v>
      </c>
      <c r="C70" s="12" t="n">
        <v>64</v>
      </c>
      <c r="D70" s="6" t="inlineStr">
        <is>
          <t>Secano</t>
        </is>
      </c>
      <c r="E70" s="6" t="inlineStr">
        <is>
          <t>M2</t>
        </is>
      </c>
      <c r="F70" s="6" t="inlineStr">
        <is>
          <t>R2</t>
        </is>
      </c>
      <c r="G70" s="14" t="n"/>
      <c r="H70" s="14" t="n">
        <v>2090</v>
      </c>
      <c r="I70" s="14" t="n">
        <v>445</v>
      </c>
      <c r="J70" s="14" t="n">
        <v>126</v>
      </c>
      <c r="K70" s="14" t="n">
        <v>134</v>
      </c>
      <c r="L70" s="14" t="n">
        <v>30.1</v>
      </c>
    </row>
    <row r="71">
      <c r="A71" s="6" t="inlineStr">
        <is>
          <t>dm_20251020_secano_m4_r2</t>
        </is>
      </c>
      <c r="B71" s="13" t="n">
        <v>45950</v>
      </c>
      <c r="C71" s="12" t="n">
        <v>65</v>
      </c>
      <c r="D71" s="6" t="inlineStr">
        <is>
          <t>Secano</t>
        </is>
      </c>
      <c r="E71" s="6" t="inlineStr">
        <is>
          <t>M4</t>
        </is>
      </c>
      <c r="F71" s="6" t="inlineStr">
        <is>
          <t>R2</t>
        </is>
      </c>
      <c r="G71" s="14" t="n"/>
      <c r="H71" s="14" t="n">
        <v>1565</v>
      </c>
      <c r="I71" s="14" t="n">
        <v>388</v>
      </c>
      <c r="J71" s="14" t="n">
        <v>27</v>
      </c>
      <c r="K71" s="14" t="n">
        <v>126</v>
      </c>
      <c r="L71" s="14" t="n">
        <v>32.5</v>
      </c>
    </row>
    <row r="72">
      <c r="A72" s="6" t="inlineStr">
        <is>
          <t>dm_20251020_secano_m0_r2</t>
        </is>
      </c>
      <c r="B72" s="13" t="n">
        <v>45950</v>
      </c>
      <c r="C72" s="12" t="n">
        <v>66</v>
      </c>
      <c r="D72" s="6" t="inlineStr">
        <is>
          <t>Secano</t>
        </is>
      </c>
      <c r="E72" s="6" t="inlineStr">
        <is>
          <t>M0</t>
        </is>
      </c>
      <c r="F72" s="6" t="inlineStr">
        <is>
          <t>R2</t>
        </is>
      </c>
      <c r="G72" s="14" t="n"/>
      <c r="H72" s="14" t="n">
        <v>917</v>
      </c>
      <c r="I72" s="14" t="n">
        <v>214</v>
      </c>
      <c r="J72" s="14" t="n">
        <v>33</v>
      </c>
      <c r="K72" s="14" t="n">
        <v>68</v>
      </c>
      <c r="L72" s="14" t="n">
        <v>31.8</v>
      </c>
    </row>
    <row r="73">
      <c r="A73" s="6" t="inlineStr">
        <is>
          <t>dm_20251020_secano_m1_r2</t>
        </is>
      </c>
      <c r="B73" s="13" t="n">
        <v>45950</v>
      </c>
      <c r="C73" s="12" t="n">
        <v>67</v>
      </c>
      <c r="D73" s="6" t="inlineStr">
        <is>
          <t>Secano</t>
        </is>
      </c>
      <c r="E73" s="6" t="inlineStr">
        <is>
          <t>M1</t>
        </is>
      </c>
      <c r="F73" s="6" t="inlineStr">
        <is>
          <t>R2</t>
        </is>
      </c>
      <c r="G73" s="14" t="n"/>
      <c r="H73" s="14" t="n">
        <v>1662</v>
      </c>
      <c r="I73" s="14" t="n">
        <v>354</v>
      </c>
      <c r="J73" s="14" t="n">
        <v>93</v>
      </c>
      <c r="K73" s="14" t="n">
        <v>107</v>
      </c>
      <c r="L73" s="14" t="n">
        <v>30.2</v>
      </c>
    </row>
    <row r="74">
      <c r="A74" s="6" t="inlineStr">
        <is>
          <t>dm_20251020_secano_m5_r2</t>
        </is>
      </c>
      <c r="B74" s="13" t="n">
        <v>45950</v>
      </c>
      <c r="C74" s="12" t="n">
        <v>68</v>
      </c>
      <c r="D74" s="6" t="inlineStr">
        <is>
          <t>Secano</t>
        </is>
      </c>
      <c r="E74" s="6" t="inlineStr">
        <is>
          <t>M5</t>
        </is>
      </c>
      <c r="F74" s="6" t="inlineStr">
        <is>
          <t>R2</t>
        </is>
      </c>
      <c r="G74" s="14" t="n"/>
      <c r="H74" s="14" t="n">
        <v>1223</v>
      </c>
      <c r="I74" s="14" t="n">
        <v>453</v>
      </c>
      <c r="J74" s="14" t="n">
        <v>65</v>
      </c>
      <c r="K74" s="14" t="n">
        <v>131</v>
      </c>
      <c r="L74" s="14" t="n">
        <v>28.9</v>
      </c>
    </row>
    <row r="75">
      <c r="A75" s="6" t="inlineStr">
        <is>
          <t>dm_20251020_secano_m3_r3</t>
        </is>
      </c>
      <c r="B75" s="13" t="n">
        <v>45950</v>
      </c>
      <c r="C75" s="12" t="n">
        <v>69</v>
      </c>
      <c r="D75" s="6" t="inlineStr">
        <is>
          <t>Secano</t>
        </is>
      </c>
      <c r="E75" s="6" t="inlineStr">
        <is>
          <t>M3</t>
        </is>
      </c>
      <c r="F75" s="6" t="inlineStr">
        <is>
          <t>R3</t>
        </is>
      </c>
      <c r="G75" s="14" t="n"/>
      <c r="H75" s="14" t="n">
        <v>1475</v>
      </c>
      <c r="I75" s="14" t="n">
        <v>327</v>
      </c>
      <c r="J75" s="14" t="n">
        <v>10</v>
      </c>
      <c r="K75" s="14" t="n">
        <v>93</v>
      </c>
      <c r="L75" s="14" t="n">
        <v>28.4</v>
      </c>
    </row>
    <row r="76">
      <c r="A76" s="6" t="inlineStr">
        <is>
          <t>dm_20251020_secano_m4_r3</t>
        </is>
      </c>
      <c r="B76" s="13" t="n">
        <v>45950</v>
      </c>
      <c r="C76" s="12" t="n">
        <v>70</v>
      </c>
      <c r="D76" s="6" t="inlineStr">
        <is>
          <t>Secano</t>
        </is>
      </c>
      <c r="E76" s="6" t="inlineStr">
        <is>
          <t>M4</t>
        </is>
      </c>
      <c r="F76" s="6" t="inlineStr">
        <is>
          <t>R3</t>
        </is>
      </c>
      <c r="G76" s="14" t="n"/>
      <c r="H76" s="14" t="n">
        <v>1827</v>
      </c>
      <c r="I76" s="14" t="n">
        <v>398</v>
      </c>
      <c r="J76" s="14" t="n">
        <v>95</v>
      </c>
      <c r="K76" s="14" t="n">
        <v>112</v>
      </c>
      <c r="L76" s="14" t="n">
        <v>28.1</v>
      </c>
    </row>
    <row r="77">
      <c r="A77" s="6" t="inlineStr">
        <is>
          <t>dm_20251020_secano_m0_r3</t>
        </is>
      </c>
      <c r="B77" s="13" t="n">
        <v>45950</v>
      </c>
      <c r="C77" s="12" t="n">
        <v>71</v>
      </c>
      <c r="D77" s="6" t="inlineStr">
        <is>
          <t>Secano</t>
        </is>
      </c>
      <c r="E77" s="6" t="inlineStr">
        <is>
          <t>M0</t>
        </is>
      </c>
      <c r="F77" s="6" t="inlineStr">
        <is>
          <t>R3</t>
        </is>
      </c>
      <c r="G77" s="14" t="n"/>
      <c r="H77" s="14" t="n">
        <v>601</v>
      </c>
      <c r="I77" s="14" t="n">
        <v>288</v>
      </c>
      <c r="J77" s="14" t="n">
        <v>42</v>
      </c>
      <c r="K77" s="14" t="n">
        <v>90</v>
      </c>
      <c r="L77" s="14" t="n">
        <v>31.3</v>
      </c>
    </row>
    <row r="78">
      <c r="A78" s="6" t="inlineStr">
        <is>
          <t>dm_20251020_secano_m1_r3</t>
        </is>
      </c>
      <c r="B78" s="13" t="n">
        <v>45950</v>
      </c>
      <c r="C78" s="12" t="n">
        <v>72</v>
      </c>
      <c r="D78" s="6" t="inlineStr">
        <is>
          <t>Secano</t>
        </is>
      </c>
      <c r="E78" s="6" t="inlineStr">
        <is>
          <t>M1</t>
        </is>
      </c>
      <c r="F78" s="6" t="inlineStr">
        <is>
          <t>R3</t>
        </is>
      </c>
      <c r="G78" s="14" t="n"/>
      <c r="H78" s="14" t="n">
        <v>1319</v>
      </c>
      <c r="I78" s="14" t="n">
        <v>353</v>
      </c>
      <c r="J78" s="14" t="n">
        <v>26</v>
      </c>
      <c r="K78" s="14" t="n">
        <v>105</v>
      </c>
      <c r="L78" s="14" t="n">
        <v>29.7</v>
      </c>
    </row>
    <row r="79">
      <c r="A79" s="6" t="inlineStr">
        <is>
          <t>dm_20251020_secano_m5_r3</t>
        </is>
      </c>
      <c r="B79" s="13" t="n">
        <v>45950</v>
      </c>
      <c r="C79" s="12" t="n">
        <v>73</v>
      </c>
      <c r="D79" s="6" t="inlineStr">
        <is>
          <t>Secano</t>
        </is>
      </c>
      <c r="E79" s="6" t="inlineStr">
        <is>
          <t>M5</t>
        </is>
      </c>
      <c r="F79" s="6" t="inlineStr">
        <is>
          <t>R3</t>
        </is>
      </c>
      <c r="G79" s="14" t="n"/>
      <c r="H79" s="14" t="n">
        <v>1065</v>
      </c>
      <c r="I79" s="14" t="n">
        <v>302</v>
      </c>
      <c r="J79" s="14" t="n">
        <v>6</v>
      </c>
      <c r="K79" s="14" t="n">
        <v>90</v>
      </c>
      <c r="L79" s="14" t="n">
        <v>29.8</v>
      </c>
    </row>
    <row r="80">
      <c r="A80" s="6" t="inlineStr">
        <is>
          <t>dm_20251020_secano_m2_r3</t>
        </is>
      </c>
      <c r="B80" s="13" t="n">
        <v>45950</v>
      </c>
      <c r="C80" s="12" t="n">
        <v>74</v>
      </c>
      <c r="D80" s="6" t="inlineStr">
        <is>
          <t>Secano</t>
        </is>
      </c>
      <c r="E80" s="6" t="inlineStr">
        <is>
          <t>M2</t>
        </is>
      </c>
      <c r="F80" s="6" t="inlineStr">
        <is>
          <t>R3</t>
        </is>
      </c>
      <c r="G80" s="14" t="n"/>
      <c r="H80" s="14" t="n">
        <v>1165</v>
      </c>
      <c r="I80" s="14" t="n">
        <v>375</v>
      </c>
      <c r="J80" s="14" t="n">
        <v>88</v>
      </c>
      <c r="K80" s="14" t="n">
        <v>121</v>
      </c>
      <c r="L80" s="14" t="n">
        <v>32.3</v>
      </c>
    </row>
    <row r="81">
      <c r="A81" s="6" t="inlineStr">
        <is>
          <t>dm_20251020_secano_m1_r4</t>
        </is>
      </c>
      <c r="B81" s="13" t="n">
        <v>45950</v>
      </c>
      <c r="C81" s="12" t="n">
        <v>75</v>
      </c>
      <c r="D81" s="6" t="inlineStr">
        <is>
          <t>Secano</t>
        </is>
      </c>
      <c r="E81" s="6" t="inlineStr">
        <is>
          <t>M1</t>
        </is>
      </c>
      <c r="F81" s="6" t="inlineStr">
        <is>
          <t>R4</t>
        </is>
      </c>
      <c r="G81" s="14" t="n"/>
      <c r="H81" s="14" t="n">
        <v>1682</v>
      </c>
      <c r="I81" s="14" t="n">
        <v>326</v>
      </c>
      <c r="J81" s="14" t="n">
        <v>22</v>
      </c>
      <c r="K81" s="14" t="n">
        <v>85</v>
      </c>
      <c r="L81" s="14" t="n">
        <v>26.1</v>
      </c>
    </row>
    <row r="82">
      <c r="A82" s="6" t="inlineStr">
        <is>
          <t>dm_20251020_secano_m0_r4</t>
        </is>
      </c>
      <c r="B82" s="13" t="n">
        <v>45950</v>
      </c>
      <c r="C82" s="12" t="n">
        <v>76</v>
      </c>
      <c r="D82" s="6" t="inlineStr">
        <is>
          <t>Secano</t>
        </is>
      </c>
      <c r="E82" s="6" t="inlineStr">
        <is>
          <t>M0</t>
        </is>
      </c>
      <c r="F82" s="6" t="inlineStr">
        <is>
          <t>R4</t>
        </is>
      </c>
      <c r="G82" s="14" t="n"/>
      <c r="H82" s="14" t="n">
        <v>909</v>
      </c>
      <c r="I82" s="14" t="n">
        <v>286</v>
      </c>
      <c r="J82" s="14" t="n">
        <v>2</v>
      </c>
      <c r="K82" s="14" t="n">
        <v>94</v>
      </c>
      <c r="L82" s="14" t="n">
        <v>32.9</v>
      </c>
    </row>
    <row r="83">
      <c r="A83" s="6" t="inlineStr">
        <is>
          <t>dm_20251020_secano_m5_r4</t>
        </is>
      </c>
      <c r="B83" s="13" t="n">
        <v>45950</v>
      </c>
      <c r="C83" s="12" t="n">
        <v>77</v>
      </c>
      <c r="D83" s="6" t="inlineStr">
        <is>
          <t>Secano</t>
        </is>
      </c>
      <c r="E83" s="6" t="inlineStr">
        <is>
          <t>M5</t>
        </is>
      </c>
      <c r="F83" s="6" t="inlineStr">
        <is>
          <t>R4</t>
        </is>
      </c>
      <c r="G83" s="14" t="n"/>
      <c r="H83" s="14" t="n">
        <v>1602</v>
      </c>
      <c r="I83" s="14" t="n">
        <v>278</v>
      </c>
      <c r="J83" s="14" t="n">
        <v>47</v>
      </c>
      <c r="K83" s="14" t="n">
        <v>75</v>
      </c>
      <c r="L83" s="14" t="n">
        <v>27</v>
      </c>
    </row>
    <row r="84">
      <c r="A84" s="6" t="inlineStr">
        <is>
          <t>dm_20251020_secano_m4_r4</t>
        </is>
      </c>
      <c r="B84" s="13" t="n">
        <v>45950</v>
      </c>
      <c r="C84" s="12" t="n">
        <v>78</v>
      </c>
      <c r="D84" s="6" t="inlineStr">
        <is>
          <t>Secano</t>
        </is>
      </c>
      <c r="E84" s="6" t="inlineStr">
        <is>
          <t>M4</t>
        </is>
      </c>
      <c r="F84" s="6" t="inlineStr">
        <is>
          <t>R4</t>
        </is>
      </c>
      <c r="G84" s="14" t="n"/>
      <c r="H84" s="14" t="n">
        <v>1549</v>
      </c>
      <c r="I84" s="14" t="n">
        <v>415</v>
      </c>
      <c r="J84" s="14" t="n">
        <v>85</v>
      </c>
      <c r="K84" s="14" t="n">
        <v>111</v>
      </c>
      <c r="L84" s="14" t="n">
        <v>26.7</v>
      </c>
    </row>
    <row r="85">
      <c r="A85" s="6" t="inlineStr">
        <is>
          <t>dm_20251020_secano_m3_r4</t>
        </is>
      </c>
      <c r="B85" s="13" t="n">
        <v>45950</v>
      </c>
      <c r="C85" s="12" t="n">
        <v>79</v>
      </c>
      <c r="D85" s="6" t="inlineStr">
        <is>
          <t>Secano</t>
        </is>
      </c>
      <c r="E85" s="6" t="inlineStr">
        <is>
          <t>M3</t>
        </is>
      </c>
      <c r="F85" s="6" t="inlineStr">
        <is>
          <t>R4</t>
        </is>
      </c>
      <c r="G85" s="14" t="n"/>
      <c r="H85" s="14" t="n">
        <v>1919</v>
      </c>
      <c r="I85" s="14" t="n">
        <v>412</v>
      </c>
      <c r="J85" s="14" t="n">
        <v>61</v>
      </c>
      <c r="K85" s="14" t="n">
        <v>128</v>
      </c>
      <c r="L85" s="14" t="n">
        <v>31.1</v>
      </c>
    </row>
    <row r="86">
      <c r="A86" s="6" t="inlineStr">
        <is>
          <t>dm_20251020_secano_m2_r4</t>
        </is>
      </c>
      <c r="B86" s="13" t="n">
        <v>45950</v>
      </c>
      <c r="C86" s="12" t="n">
        <v>80</v>
      </c>
      <c r="D86" s="6" t="inlineStr">
        <is>
          <t>Secano</t>
        </is>
      </c>
      <c r="E86" s="6" t="inlineStr">
        <is>
          <t>M2</t>
        </is>
      </c>
      <c r="F86" s="6" t="inlineStr">
        <is>
          <t>R4</t>
        </is>
      </c>
      <c r="G86" s="14" t="n"/>
      <c r="H86" s="14" t="n">
        <v>1578</v>
      </c>
      <c r="I86" s="14" t="n">
        <v>351</v>
      </c>
      <c r="J86" s="14" t="n">
        <v>70</v>
      </c>
      <c r="K86" s="14" t="n">
        <v>104</v>
      </c>
      <c r="L86" s="14" t="n">
        <v>29.6</v>
      </c>
    </row>
    <row r="87">
      <c r="A87" s="6" t="inlineStr">
        <is>
          <t>dm_20251020_riego_m0_r1</t>
        </is>
      </c>
      <c r="B87" s="13" t="n">
        <v>45950</v>
      </c>
      <c r="C87" s="12" t="n">
        <v>81</v>
      </c>
      <c r="D87" s="6" t="inlineStr">
        <is>
          <t>Riego</t>
        </is>
      </c>
      <c r="E87" s="6" t="inlineStr">
        <is>
          <t>M0</t>
        </is>
      </c>
      <c r="F87" s="6" t="inlineStr">
        <is>
          <t>R1</t>
        </is>
      </c>
      <c r="G87" s="14" t="n"/>
      <c r="H87" s="14" t="n">
        <v>677</v>
      </c>
      <c r="I87" s="14" t="n">
        <v>257</v>
      </c>
      <c r="J87" s="14" t="n">
        <v>59</v>
      </c>
      <c r="K87" s="14" t="n">
        <v>79</v>
      </c>
      <c r="L87" s="14" t="n">
        <v>30.7</v>
      </c>
    </row>
    <row r="88">
      <c r="A88" s="6" t="inlineStr">
        <is>
          <t>dm_20251020_riego_m1_r1</t>
        </is>
      </c>
      <c r="B88" s="13" t="n">
        <v>45950</v>
      </c>
      <c r="C88" s="12" t="n">
        <v>82</v>
      </c>
      <c r="D88" s="6" t="inlineStr">
        <is>
          <t>Riego</t>
        </is>
      </c>
      <c r="E88" s="6" t="inlineStr">
        <is>
          <t>M1</t>
        </is>
      </c>
      <c r="F88" s="6" t="inlineStr">
        <is>
          <t>R1</t>
        </is>
      </c>
      <c r="G88" s="14" t="n"/>
      <c r="H88" s="14" t="n">
        <v>2084</v>
      </c>
      <c r="I88" s="14" t="n">
        <v>346</v>
      </c>
      <c r="J88" s="14" t="n">
        <v>43</v>
      </c>
      <c r="K88" s="14" t="n">
        <v>85</v>
      </c>
      <c r="L88" s="14" t="n">
        <v>24.6</v>
      </c>
    </row>
    <row r="89">
      <c r="A89" s="6" t="inlineStr">
        <is>
          <t>dm_20251020_riego_m2_r1</t>
        </is>
      </c>
      <c r="B89" s="13" t="n">
        <v>45950</v>
      </c>
      <c r="C89" s="12" t="n">
        <v>83</v>
      </c>
      <c r="D89" s="6" t="inlineStr">
        <is>
          <t>Riego</t>
        </is>
      </c>
      <c r="E89" s="6" t="inlineStr">
        <is>
          <t>M2</t>
        </is>
      </c>
      <c r="F89" s="6" t="inlineStr">
        <is>
          <t>R1</t>
        </is>
      </c>
      <c r="G89" s="14" t="n"/>
      <c r="H89" s="14" t="n">
        <v>1698</v>
      </c>
      <c r="I89" s="14" t="n">
        <v>376</v>
      </c>
      <c r="J89" s="14" t="n">
        <v>68</v>
      </c>
      <c r="K89" s="14" t="n">
        <v>93</v>
      </c>
      <c r="L89" s="14" t="n">
        <v>24.7</v>
      </c>
    </row>
    <row r="90">
      <c r="A90" s="6" t="inlineStr">
        <is>
          <t>dm_20251020_riego_m3_r1</t>
        </is>
      </c>
      <c r="B90" s="13" t="n">
        <v>45950</v>
      </c>
      <c r="C90" s="12" t="n">
        <v>84</v>
      </c>
      <c r="D90" s="6" t="inlineStr">
        <is>
          <t>Riego</t>
        </is>
      </c>
      <c r="E90" s="6" t="inlineStr">
        <is>
          <t>M3</t>
        </is>
      </c>
      <c r="F90" s="6" t="inlineStr">
        <is>
          <t>R1</t>
        </is>
      </c>
      <c r="G90" s="14" t="n"/>
      <c r="H90" s="14" t="n">
        <v>1536</v>
      </c>
      <c r="I90" s="14" t="n">
        <v>349</v>
      </c>
      <c r="J90" s="14" t="n">
        <v>84</v>
      </c>
      <c r="K90" s="14" t="n">
        <v>93</v>
      </c>
      <c r="L90" s="14" t="n">
        <v>26.6</v>
      </c>
    </row>
    <row r="91">
      <c r="A91" s="6" t="inlineStr">
        <is>
          <t>dm_20251020_riego_m4_r1</t>
        </is>
      </c>
      <c r="B91" s="13" t="n">
        <v>45950</v>
      </c>
      <c r="C91" s="12" t="n">
        <v>85</v>
      </c>
      <c r="D91" s="6" t="inlineStr">
        <is>
          <t>Riego</t>
        </is>
      </c>
      <c r="E91" s="6" t="inlineStr">
        <is>
          <t>M4</t>
        </is>
      </c>
      <c r="F91" s="6" t="inlineStr">
        <is>
          <t>R1</t>
        </is>
      </c>
      <c r="G91" s="14" t="n"/>
      <c r="H91" s="14" t="n">
        <v>1673</v>
      </c>
      <c r="I91" s="14" t="n">
        <v>385</v>
      </c>
      <c r="J91" s="14" t="n">
        <v>44</v>
      </c>
      <c r="K91" s="14" t="n">
        <v>91</v>
      </c>
      <c r="L91" s="14" t="n">
        <v>23.6</v>
      </c>
    </row>
    <row r="92">
      <c r="A92" s="6" t="inlineStr">
        <is>
          <t>dm_20251020_riego_m5_r1</t>
        </is>
      </c>
      <c r="B92" s="13" t="n">
        <v>45950</v>
      </c>
      <c r="C92" s="12" t="n">
        <v>86</v>
      </c>
      <c r="D92" s="6" t="inlineStr">
        <is>
          <t>Riego</t>
        </is>
      </c>
      <c r="E92" s="6" t="inlineStr">
        <is>
          <t>M5</t>
        </is>
      </c>
      <c r="F92" s="6" t="inlineStr">
        <is>
          <t>R1</t>
        </is>
      </c>
      <c r="G92" s="14" t="n"/>
      <c r="H92" s="14" t="n">
        <v>1507</v>
      </c>
      <c r="I92" s="14" t="n">
        <v>385</v>
      </c>
      <c r="J92" s="14" t="n">
        <v>15</v>
      </c>
      <c r="K92" s="14" t="n">
        <v>90</v>
      </c>
      <c r="L92" s="14" t="n">
        <v>23.4</v>
      </c>
    </row>
    <row r="93">
      <c r="A93" s="6" t="inlineStr">
        <is>
          <t>dm_20251020_riego_m3_r2</t>
        </is>
      </c>
      <c r="B93" s="13" t="n">
        <v>45950</v>
      </c>
      <c r="C93" s="12" t="n">
        <v>87</v>
      </c>
      <c r="D93" s="6" t="inlineStr">
        <is>
          <t>Riego</t>
        </is>
      </c>
      <c r="E93" s="6" t="inlineStr">
        <is>
          <t>M3</t>
        </is>
      </c>
      <c r="F93" s="6" t="inlineStr">
        <is>
          <t>R2</t>
        </is>
      </c>
      <c r="G93" s="14" t="n"/>
      <c r="H93" s="14" t="n">
        <v>1564</v>
      </c>
      <c r="I93" s="14" t="n">
        <v>328</v>
      </c>
      <c r="J93" s="14" t="n">
        <v>107</v>
      </c>
      <c r="K93" s="14" t="n">
        <v>88</v>
      </c>
      <c r="L93" s="14" t="n">
        <v>26.8</v>
      </c>
    </row>
    <row r="94">
      <c r="A94" s="6" t="inlineStr">
        <is>
          <t>dm_20251020_riego_m2_r2</t>
        </is>
      </c>
      <c r="B94" s="13" t="n">
        <v>45950</v>
      </c>
      <c r="C94" s="12" t="n">
        <v>88</v>
      </c>
      <c r="D94" s="6" t="inlineStr">
        <is>
          <t>Riego</t>
        </is>
      </c>
      <c r="E94" s="6" t="inlineStr">
        <is>
          <t>M2</t>
        </is>
      </c>
      <c r="F94" s="6" t="inlineStr">
        <is>
          <t>R2</t>
        </is>
      </c>
      <c r="G94" s="14" t="n"/>
      <c r="H94" s="14" t="n">
        <v>1766</v>
      </c>
      <c r="I94" s="14" t="n">
        <v>337</v>
      </c>
      <c r="J94" s="14" t="n">
        <v>40</v>
      </c>
      <c r="K94" s="14" t="n">
        <v>84</v>
      </c>
      <c r="L94" s="14" t="n">
        <v>24.9</v>
      </c>
    </row>
    <row r="95">
      <c r="A95" s="6" t="inlineStr">
        <is>
          <t>dm_20251020_riego_m4_r2</t>
        </is>
      </c>
      <c r="B95" s="13" t="n">
        <v>45950</v>
      </c>
      <c r="C95" s="12" t="n">
        <v>89</v>
      </c>
      <c r="D95" s="6" t="inlineStr">
        <is>
          <t>Riego</t>
        </is>
      </c>
      <c r="E95" s="6" t="inlineStr">
        <is>
          <t>M4</t>
        </is>
      </c>
      <c r="F95" s="6" t="inlineStr">
        <is>
          <t>R2</t>
        </is>
      </c>
      <c r="G95" s="14" t="n"/>
      <c r="H95" s="14" t="n">
        <v>1685</v>
      </c>
      <c r="I95" s="14" t="n">
        <v>308</v>
      </c>
      <c r="J95" s="14" t="n">
        <v>105</v>
      </c>
      <c r="K95" s="14" t="n">
        <v>73</v>
      </c>
      <c r="L95" s="14" t="n">
        <v>23.7</v>
      </c>
    </row>
    <row r="96">
      <c r="A96" s="6" t="inlineStr">
        <is>
          <t>dm_20251020_riego_m0_r2</t>
        </is>
      </c>
      <c r="B96" s="13" t="n">
        <v>45950</v>
      </c>
      <c r="C96" s="12" t="n">
        <v>90</v>
      </c>
      <c r="D96" s="6" t="inlineStr">
        <is>
          <t>Riego</t>
        </is>
      </c>
      <c r="E96" s="6" t="inlineStr">
        <is>
          <t>M0</t>
        </is>
      </c>
      <c r="F96" s="6" t="inlineStr">
        <is>
          <t>R2</t>
        </is>
      </c>
      <c r="G96" s="14" t="n"/>
      <c r="H96" s="14" t="n">
        <v>746</v>
      </c>
      <c r="I96" s="14" t="n">
        <v>219</v>
      </c>
      <c r="J96" s="14" t="n">
        <v>117</v>
      </c>
      <c r="K96" s="14" t="n">
        <v>66</v>
      </c>
      <c r="L96" s="14" t="n">
        <v>30.1</v>
      </c>
    </row>
    <row r="97">
      <c r="A97" s="6" t="inlineStr">
        <is>
          <t>dm_20251020_riego_m1_r2</t>
        </is>
      </c>
      <c r="B97" s="13" t="n">
        <v>45950</v>
      </c>
      <c r="C97" s="12" t="n">
        <v>91</v>
      </c>
      <c r="D97" s="6" t="inlineStr">
        <is>
          <t>Riego</t>
        </is>
      </c>
      <c r="E97" s="6" t="inlineStr">
        <is>
          <t>M1</t>
        </is>
      </c>
      <c r="F97" s="6" t="inlineStr">
        <is>
          <t>R2</t>
        </is>
      </c>
      <c r="G97" s="14" t="n"/>
      <c r="H97" s="14" t="n">
        <v>2400</v>
      </c>
      <c r="I97" s="14" t="n">
        <v>469</v>
      </c>
      <c r="J97" s="14" t="n">
        <v>31</v>
      </c>
      <c r="K97" s="14" t="n">
        <v>98</v>
      </c>
      <c r="L97" s="14" t="n">
        <v>20.9</v>
      </c>
    </row>
    <row r="98">
      <c r="A98" s="6" t="inlineStr">
        <is>
          <t>dm_20251020_riego_m5_r2</t>
        </is>
      </c>
      <c r="B98" s="13" t="n">
        <v>45950</v>
      </c>
      <c r="C98" s="12" t="n">
        <v>92</v>
      </c>
      <c r="D98" s="6" t="inlineStr">
        <is>
          <t>Riego</t>
        </is>
      </c>
      <c r="E98" s="6" t="inlineStr">
        <is>
          <t>M5</t>
        </is>
      </c>
      <c r="F98" s="6" t="inlineStr">
        <is>
          <t>R2</t>
        </is>
      </c>
      <c r="G98" s="14" t="n"/>
      <c r="H98" s="14" t="n">
        <v>1605</v>
      </c>
      <c r="I98" s="14" t="n">
        <v>376</v>
      </c>
      <c r="J98" s="14" t="n">
        <v>98</v>
      </c>
      <c r="K98" s="14" t="n">
        <v>85</v>
      </c>
      <c r="L98" s="14" t="n">
        <v>22.6</v>
      </c>
    </row>
    <row r="99">
      <c r="A99" s="6" t="inlineStr">
        <is>
          <t>dm_20251020_riego_m3_r3</t>
        </is>
      </c>
      <c r="B99" s="13" t="n">
        <v>45950</v>
      </c>
      <c r="C99" s="12" t="n">
        <v>93</v>
      </c>
      <c r="D99" s="6" t="inlineStr">
        <is>
          <t>Riego</t>
        </is>
      </c>
      <c r="E99" s="6" t="inlineStr">
        <is>
          <t>M3</t>
        </is>
      </c>
      <c r="F99" s="6" t="inlineStr">
        <is>
          <t>R3</t>
        </is>
      </c>
      <c r="G99" s="14" t="n"/>
      <c r="H99" s="14" t="n">
        <v>2079</v>
      </c>
      <c r="I99" s="14" t="n">
        <v>280</v>
      </c>
      <c r="J99" s="14" t="n">
        <v>9</v>
      </c>
      <c r="K99" s="14" t="n">
        <v>76</v>
      </c>
      <c r="L99" s="14" t="n">
        <v>27.1</v>
      </c>
    </row>
    <row r="100">
      <c r="A100" s="6" t="inlineStr">
        <is>
          <t>dm_20251020_riego_m4_r3</t>
        </is>
      </c>
      <c r="B100" s="13" t="n">
        <v>45950</v>
      </c>
      <c r="C100" s="12" t="n">
        <v>94</v>
      </c>
      <c r="D100" s="6" t="inlineStr">
        <is>
          <t>Riego</t>
        </is>
      </c>
      <c r="E100" s="6" t="inlineStr">
        <is>
          <t>M4</t>
        </is>
      </c>
      <c r="F100" s="6" t="inlineStr">
        <is>
          <t>R3</t>
        </is>
      </c>
      <c r="G100" s="14" t="n"/>
      <c r="H100" s="14" t="n">
        <v>2186</v>
      </c>
      <c r="I100" s="14" t="n">
        <v>250</v>
      </c>
      <c r="J100" s="14" t="n">
        <v>36</v>
      </c>
      <c r="K100" s="14" t="n">
        <v>63</v>
      </c>
      <c r="L100" s="14" t="n">
        <v>25.2</v>
      </c>
    </row>
    <row r="101">
      <c r="A101" s="6" t="inlineStr">
        <is>
          <t>dm_20251020_riego_m0_r3</t>
        </is>
      </c>
      <c r="B101" s="13" t="n">
        <v>45950</v>
      </c>
      <c r="C101" s="12" t="n">
        <v>95</v>
      </c>
      <c r="D101" s="6" t="inlineStr">
        <is>
          <t>Riego</t>
        </is>
      </c>
      <c r="E101" s="6" t="inlineStr">
        <is>
          <t>M0</t>
        </is>
      </c>
      <c r="F101" s="6" t="inlineStr">
        <is>
          <t>R3</t>
        </is>
      </c>
      <c r="G101" s="14" t="n"/>
      <c r="H101" s="14" t="n">
        <v>735</v>
      </c>
      <c r="I101" s="14" t="n">
        <v>289</v>
      </c>
      <c r="J101" s="14" t="n">
        <v>34</v>
      </c>
      <c r="K101" s="14" t="n">
        <v>83</v>
      </c>
      <c r="L101" s="14" t="n">
        <v>28.7</v>
      </c>
    </row>
    <row r="102">
      <c r="A102" s="6" t="inlineStr">
        <is>
          <t>dm_20251020_riego_m1_r3</t>
        </is>
      </c>
      <c r="B102" s="13" t="n">
        <v>45950</v>
      </c>
      <c r="C102" s="12" t="n">
        <v>96</v>
      </c>
      <c r="D102" s="6" t="inlineStr">
        <is>
          <t>Riego</t>
        </is>
      </c>
      <c r="E102" s="6" t="inlineStr">
        <is>
          <t>M1</t>
        </is>
      </c>
      <c r="F102" s="6" t="inlineStr">
        <is>
          <t>R3</t>
        </is>
      </c>
      <c r="G102" s="14" t="n"/>
      <c r="H102" s="14" t="n">
        <v>2067</v>
      </c>
      <c r="I102" s="14" t="n">
        <v>381</v>
      </c>
      <c r="J102" s="14" t="n">
        <v>56</v>
      </c>
      <c r="K102" s="14" t="n">
        <v>81</v>
      </c>
      <c r="L102" s="14" t="n">
        <v>21.3</v>
      </c>
    </row>
    <row r="103">
      <c r="A103" s="6" t="inlineStr">
        <is>
          <t>dm_20251020_riego_m5_r3</t>
        </is>
      </c>
      <c r="B103" s="13" t="n">
        <v>45950</v>
      </c>
      <c r="C103" s="12" t="n">
        <v>97</v>
      </c>
      <c r="D103" s="6" t="inlineStr">
        <is>
          <t>Riego</t>
        </is>
      </c>
      <c r="E103" s="6" t="inlineStr">
        <is>
          <t>M5</t>
        </is>
      </c>
      <c r="F103" s="6" t="inlineStr">
        <is>
          <t>R3</t>
        </is>
      </c>
      <c r="G103" s="14" t="n"/>
      <c r="H103" s="14" t="n">
        <v>1627</v>
      </c>
      <c r="I103" s="14" t="n">
        <v>366</v>
      </c>
      <c r="J103" s="14" t="n">
        <v>28</v>
      </c>
      <c r="K103" s="14" t="n">
        <v>80</v>
      </c>
      <c r="L103" s="14" t="n">
        <v>21.9</v>
      </c>
    </row>
    <row r="104">
      <c r="A104" s="6" t="inlineStr">
        <is>
          <t>dm_20251020_riego_m2_r3</t>
        </is>
      </c>
      <c r="B104" s="13" t="n">
        <v>45950</v>
      </c>
      <c r="C104" s="12" t="n">
        <v>98</v>
      </c>
      <c r="D104" s="6" t="inlineStr">
        <is>
          <t>Riego</t>
        </is>
      </c>
      <c r="E104" s="6" t="inlineStr">
        <is>
          <t>M2</t>
        </is>
      </c>
      <c r="F104" s="6" t="inlineStr">
        <is>
          <t>R3</t>
        </is>
      </c>
      <c r="G104" s="14" t="n"/>
      <c r="H104" s="14" t="n">
        <v>1743</v>
      </c>
      <c r="I104" s="14" t="n">
        <v>373</v>
      </c>
      <c r="J104" s="14" t="n">
        <v>37</v>
      </c>
      <c r="K104" s="14" t="n">
        <v>101</v>
      </c>
      <c r="L104" s="14" t="n">
        <v>27.1</v>
      </c>
    </row>
    <row r="105">
      <c r="A105" s="6" t="inlineStr">
        <is>
          <t>dm_20251020_riego_m1_r4</t>
        </is>
      </c>
      <c r="B105" s="13" t="n">
        <v>45950</v>
      </c>
      <c r="C105" s="12" t="n">
        <v>99</v>
      </c>
      <c r="D105" s="6" t="inlineStr">
        <is>
          <t>Riego</t>
        </is>
      </c>
      <c r="E105" s="6" t="inlineStr">
        <is>
          <t>M1</t>
        </is>
      </c>
      <c r="F105" s="6" t="inlineStr">
        <is>
          <t>R4</t>
        </is>
      </c>
      <c r="G105" s="14" t="n"/>
      <c r="H105" s="14" t="n">
        <v>2651</v>
      </c>
      <c r="I105" s="14" t="n">
        <v>412</v>
      </c>
      <c r="J105" s="14" t="n">
        <v>86</v>
      </c>
      <c r="K105" s="14" t="n">
        <v>93</v>
      </c>
      <c r="L105" s="14" t="n">
        <v>22.6</v>
      </c>
    </row>
    <row r="106">
      <c r="A106" s="6" t="inlineStr">
        <is>
          <t>dm_20251020_riego_m0_r4</t>
        </is>
      </c>
      <c r="B106" s="13" t="n">
        <v>45950</v>
      </c>
      <c r="C106" s="12" t="n">
        <v>100</v>
      </c>
      <c r="D106" s="6" t="inlineStr">
        <is>
          <t>Riego</t>
        </is>
      </c>
      <c r="E106" s="6" t="inlineStr">
        <is>
          <t>M0</t>
        </is>
      </c>
      <c r="F106" s="6" t="inlineStr">
        <is>
          <t>R4</t>
        </is>
      </c>
      <c r="G106" s="14" t="n"/>
      <c r="H106" s="14" t="n">
        <v>861</v>
      </c>
      <c r="I106" s="14" t="n">
        <v>302</v>
      </c>
      <c r="J106" s="14" t="n">
        <v>71</v>
      </c>
      <c r="K106" s="14" t="n">
        <v>89</v>
      </c>
      <c r="L106" s="14" t="n">
        <v>29.5</v>
      </c>
    </row>
    <row r="107">
      <c r="A107" s="6" t="inlineStr">
        <is>
          <t>dm_20251020_riego_m5_r4</t>
        </is>
      </c>
      <c r="B107" s="13" t="n">
        <v>45950</v>
      </c>
      <c r="C107" s="12" t="n">
        <v>101</v>
      </c>
      <c r="D107" s="6" t="inlineStr">
        <is>
          <t>Riego</t>
        </is>
      </c>
      <c r="E107" s="6" t="inlineStr">
        <is>
          <t>M5</t>
        </is>
      </c>
      <c r="F107" s="6" t="inlineStr">
        <is>
          <t>R4</t>
        </is>
      </c>
      <c r="G107" s="14" t="n"/>
      <c r="H107" s="14" t="n">
        <v>2052</v>
      </c>
      <c r="I107" s="14" t="n">
        <v>349</v>
      </c>
      <c r="J107" s="14" t="n">
        <v>67</v>
      </c>
      <c r="K107" s="14" t="n">
        <v>82</v>
      </c>
      <c r="L107" s="14" t="n">
        <v>23.5</v>
      </c>
    </row>
    <row r="108">
      <c r="A108" s="6" t="inlineStr">
        <is>
          <t>dm_20251020_riego_m4_r4</t>
        </is>
      </c>
      <c r="B108" s="13" t="n">
        <v>45950</v>
      </c>
      <c r="C108" s="12" t="n">
        <v>102</v>
      </c>
      <c r="D108" s="6" t="inlineStr">
        <is>
          <t>Riego</t>
        </is>
      </c>
      <c r="E108" s="6" t="inlineStr">
        <is>
          <t>M4</t>
        </is>
      </c>
      <c r="F108" s="6" t="inlineStr">
        <is>
          <t>R4</t>
        </is>
      </c>
      <c r="G108" s="14" t="n"/>
      <c r="H108" s="14" t="n">
        <v>1654</v>
      </c>
      <c r="I108" s="14" t="n">
        <v>461</v>
      </c>
      <c r="J108" s="14" t="n">
        <v>63</v>
      </c>
      <c r="K108" s="14" t="n">
        <v>108</v>
      </c>
      <c r="L108" s="14" t="n">
        <v>23.4</v>
      </c>
    </row>
    <row r="109">
      <c r="A109" s="6" t="inlineStr">
        <is>
          <t>dm_20251020_riego_m3_r4</t>
        </is>
      </c>
      <c r="B109" s="13" t="n">
        <v>45950</v>
      </c>
      <c r="C109" s="12" t="n">
        <v>103</v>
      </c>
      <c r="D109" s="6" t="inlineStr">
        <is>
          <t>Riego</t>
        </is>
      </c>
      <c r="E109" s="6" t="inlineStr">
        <is>
          <t>M3</t>
        </is>
      </c>
      <c r="F109" s="6" t="inlineStr">
        <is>
          <t>R4</t>
        </is>
      </c>
      <c r="G109" s="14" t="n"/>
      <c r="H109" s="14" t="n">
        <v>1335</v>
      </c>
      <c r="I109" s="14" t="n">
        <v>377</v>
      </c>
      <c r="J109" s="14" t="n">
        <v>132</v>
      </c>
      <c r="K109" s="14" t="n">
        <v>105</v>
      </c>
      <c r="L109" s="14" t="n">
        <v>27.9</v>
      </c>
    </row>
    <row r="110">
      <c r="A110" s="6" t="inlineStr">
        <is>
          <t>dm_20251020_riego_m2_r4</t>
        </is>
      </c>
      <c r="B110" s="13" t="n">
        <v>45950</v>
      </c>
      <c r="C110" s="12" t="n">
        <v>104</v>
      </c>
      <c r="D110" s="6" t="inlineStr">
        <is>
          <t>Riego</t>
        </is>
      </c>
      <c r="E110" s="6" t="inlineStr">
        <is>
          <t>M2</t>
        </is>
      </c>
      <c r="F110" s="6" t="inlineStr">
        <is>
          <t>R4</t>
        </is>
      </c>
      <c r="G110" s="14" t="n"/>
      <c r="H110" s="14" t="n">
        <v>1827</v>
      </c>
      <c r="I110" s="14" t="n">
        <v>365</v>
      </c>
      <c r="J110" s="14" t="n">
        <v>20</v>
      </c>
      <c r="K110" s="14" t="n">
        <v>107</v>
      </c>
      <c r="L110" s="14" t="n">
        <v>29.3</v>
      </c>
    </row>
    <row r="111">
      <c r="A111" s="6" t="inlineStr">
        <is>
          <t>dm_20251112_secano_m0_r1</t>
        </is>
      </c>
      <c r="B111" s="13" t="n">
        <v>45973</v>
      </c>
      <c r="C111" s="12" t="n">
        <v>105</v>
      </c>
      <c r="D111" s="6" t="inlineStr">
        <is>
          <t>Secano</t>
        </is>
      </c>
      <c r="E111" s="6" t="inlineStr">
        <is>
          <t>M0</t>
        </is>
      </c>
      <c r="F111" s="6" t="inlineStr">
        <is>
          <t>R1</t>
        </is>
      </c>
      <c r="G111" s="14" t="n"/>
      <c r="H111" s="14" t="n">
        <v>1363</v>
      </c>
      <c r="I111" s="14" t="n">
        <v>308</v>
      </c>
      <c r="J111" s="14" t="n">
        <v>87</v>
      </c>
      <c r="K111" s="14" t="n">
        <v>82</v>
      </c>
      <c r="L111" s="14" t="n">
        <v>28.5</v>
      </c>
    </row>
    <row r="112">
      <c r="A112" s="6" t="inlineStr">
        <is>
          <t>dm_20251112_secano_m1_r1</t>
        </is>
      </c>
      <c r="B112" s="13" t="n">
        <v>45973</v>
      </c>
      <c r="C112" s="12" t="n">
        <v>106</v>
      </c>
      <c r="D112" s="6" t="inlineStr">
        <is>
          <t>Secano</t>
        </is>
      </c>
      <c r="E112" s="6" t="inlineStr">
        <is>
          <t>M1</t>
        </is>
      </c>
      <c r="F112" s="6" t="inlineStr">
        <is>
          <t>R1</t>
        </is>
      </c>
      <c r="G112" s="14" t="n"/>
      <c r="H112" s="14" t="n">
        <v>2246</v>
      </c>
      <c r="I112" s="14" t="n">
        <v>630</v>
      </c>
      <c r="J112" s="14" t="n">
        <v>91</v>
      </c>
      <c r="K112" s="14" t="n">
        <v>135</v>
      </c>
      <c r="L112" s="14" t="n">
        <v>22.2</v>
      </c>
    </row>
    <row r="113">
      <c r="A113" s="6" t="inlineStr">
        <is>
          <t>dm_20251112_secano_m2_r1</t>
        </is>
      </c>
      <c r="B113" s="13" t="n">
        <v>45973</v>
      </c>
      <c r="C113" s="12" t="n">
        <v>107</v>
      </c>
      <c r="D113" s="6" t="inlineStr">
        <is>
          <t>Secano</t>
        </is>
      </c>
      <c r="E113" s="6" t="inlineStr">
        <is>
          <t>M2</t>
        </is>
      </c>
      <c r="F113" s="6" t="inlineStr">
        <is>
          <t>R1</t>
        </is>
      </c>
      <c r="G113" s="14" t="n"/>
      <c r="H113" s="14" t="n">
        <v>2350</v>
      </c>
      <c r="I113" s="14" t="n">
        <v>430</v>
      </c>
      <c r="J113" s="14" t="n">
        <v>17</v>
      </c>
      <c r="K113" s="14" t="n">
        <v>87</v>
      </c>
      <c r="L113" s="14" t="n">
        <v>21.1</v>
      </c>
    </row>
    <row r="114">
      <c r="A114" s="6" t="inlineStr">
        <is>
          <t>dm_20251112_secano_m3_r1</t>
        </is>
      </c>
      <c r="B114" s="13" t="n">
        <v>45973</v>
      </c>
      <c r="C114" s="12" t="n">
        <v>108</v>
      </c>
      <c r="D114" s="6" t="inlineStr">
        <is>
          <t>Secano</t>
        </is>
      </c>
      <c r="E114" s="6" t="inlineStr">
        <is>
          <t>M3</t>
        </is>
      </c>
      <c r="F114" s="6" t="inlineStr">
        <is>
          <t>R1</t>
        </is>
      </c>
      <c r="G114" s="14" t="n"/>
      <c r="H114" s="14" t="n">
        <v>1988</v>
      </c>
      <c r="I114" s="14" t="n">
        <v>358</v>
      </c>
      <c r="J114" s="14" t="n">
        <v>60</v>
      </c>
      <c r="K114" s="14" t="n">
        <v>91</v>
      </c>
      <c r="L114" s="14" t="n">
        <v>26.8</v>
      </c>
    </row>
    <row r="115">
      <c r="A115" s="6" t="inlineStr">
        <is>
          <t>dm_20251112_secano_m4_r1</t>
        </is>
      </c>
      <c r="B115" s="13" t="n">
        <v>45973</v>
      </c>
      <c r="C115" s="12" t="n">
        <v>109</v>
      </c>
      <c r="D115" s="6" t="inlineStr">
        <is>
          <t>Secano</t>
        </is>
      </c>
      <c r="E115" s="6" t="inlineStr">
        <is>
          <t>M4</t>
        </is>
      </c>
      <c r="F115" s="6" t="inlineStr">
        <is>
          <t>R1</t>
        </is>
      </c>
      <c r="G115" s="14" t="n"/>
      <c r="H115" s="14" t="n">
        <v>1410</v>
      </c>
      <c r="I115" s="14" t="n">
        <v>296</v>
      </c>
      <c r="J115" s="14" t="n">
        <v>62</v>
      </c>
      <c r="K115" s="14" t="n">
        <v>68</v>
      </c>
      <c r="L115" s="14" t="n">
        <v>24.5</v>
      </c>
    </row>
    <row r="116">
      <c r="A116" s="6" t="inlineStr">
        <is>
          <t>dm_20251112_secano_m5_r1</t>
        </is>
      </c>
      <c r="B116" s="13" t="n">
        <v>45973</v>
      </c>
      <c r="C116" s="12" t="n">
        <v>110</v>
      </c>
      <c r="D116" s="6" t="inlineStr">
        <is>
          <t>Secano</t>
        </is>
      </c>
      <c r="E116" s="6" t="inlineStr">
        <is>
          <t>M5</t>
        </is>
      </c>
      <c r="F116" s="6" t="inlineStr">
        <is>
          <t>R1</t>
        </is>
      </c>
      <c r="G116" s="14" t="n"/>
      <c r="H116" s="14" t="n">
        <v>1477</v>
      </c>
      <c r="I116" s="14" t="n">
        <v>595</v>
      </c>
      <c r="J116" s="14" t="n">
        <v>67</v>
      </c>
      <c r="K116" s="14" t="n">
        <v>145</v>
      </c>
      <c r="L116" s="14" t="n">
        <v>25.8</v>
      </c>
    </row>
    <row r="117">
      <c r="A117" s="6" t="inlineStr">
        <is>
          <t>dm_20251112_secano_m3_r2</t>
        </is>
      </c>
      <c r="B117" s="13" t="n">
        <v>45973</v>
      </c>
      <c r="C117" s="12" t="n">
        <v>111</v>
      </c>
      <c r="D117" s="6" t="inlineStr">
        <is>
          <t>Secano</t>
        </is>
      </c>
      <c r="E117" s="6" t="inlineStr">
        <is>
          <t>M3</t>
        </is>
      </c>
      <c r="F117" s="6" t="inlineStr">
        <is>
          <t>R2</t>
        </is>
      </c>
      <c r="G117" s="14" t="n"/>
      <c r="H117" s="14" t="n">
        <v>2133</v>
      </c>
      <c r="I117" s="14" t="n">
        <v>489</v>
      </c>
      <c r="J117" s="14" t="n">
        <v>65</v>
      </c>
      <c r="K117" s="14" t="n">
        <v>105</v>
      </c>
      <c r="L117" s="14" t="n">
        <v>22.4</v>
      </c>
    </row>
    <row r="118">
      <c r="A118" s="6" t="inlineStr">
        <is>
          <t>dm_20251112_secano_m2_r2</t>
        </is>
      </c>
      <c r="B118" s="13" t="n">
        <v>45973</v>
      </c>
      <c r="C118" s="12" t="n">
        <v>112</v>
      </c>
      <c r="D118" s="6" t="inlineStr">
        <is>
          <t>Secano</t>
        </is>
      </c>
      <c r="E118" s="6" t="inlineStr">
        <is>
          <t>M2</t>
        </is>
      </c>
      <c r="F118" s="6" t="inlineStr">
        <is>
          <t>R2</t>
        </is>
      </c>
      <c r="G118" s="14" t="n"/>
      <c r="H118" s="14" t="n">
        <v>2504</v>
      </c>
      <c r="I118" s="14" t="n">
        <v>552</v>
      </c>
      <c r="J118" s="14" t="n">
        <v>4</v>
      </c>
      <c r="K118" s="14" t="n">
        <v>124</v>
      </c>
      <c r="L118" s="14" t="n">
        <v>23.4</v>
      </c>
    </row>
    <row r="119">
      <c r="A119" s="6" t="inlineStr">
        <is>
          <t>dm_20251112_secano_m4_r2</t>
        </is>
      </c>
      <c r="B119" s="13" t="n">
        <v>45973</v>
      </c>
      <c r="C119" s="12" t="n">
        <v>113</v>
      </c>
      <c r="D119" s="6" t="inlineStr">
        <is>
          <t>Secano</t>
        </is>
      </c>
      <c r="E119" s="6" t="inlineStr">
        <is>
          <t>M4</t>
        </is>
      </c>
      <c r="F119" s="6" t="inlineStr">
        <is>
          <t>R2</t>
        </is>
      </c>
      <c r="G119" s="14" t="n"/>
      <c r="H119" s="14" t="n">
        <v>2144</v>
      </c>
      <c r="I119" s="14" t="n">
        <v>430</v>
      </c>
      <c r="J119" s="14" t="n">
        <v>20</v>
      </c>
      <c r="K119" s="14" t="n">
        <v>92</v>
      </c>
      <c r="L119" s="14" t="n">
        <v>22.6</v>
      </c>
    </row>
    <row r="120">
      <c r="A120" s="6" t="inlineStr">
        <is>
          <t>dm_20251112_secano_m0_r2</t>
        </is>
      </c>
      <c r="B120" s="13" t="n">
        <v>45973</v>
      </c>
      <c r="C120" s="12" t="n">
        <v>114</v>
      </c>
      <c r="D120" s="6" t="inlineStr">
        <is>
          <t>Secano</t>
        </is>
      </c>
      <c r="E120" s="6" t="inlineStr">
        <is>
          <t>M0</t>
        </is>
      </c>
      <c r="F120" s="6" t="inlineStr">
        <is>
          <t>R2</t>
        </is>
      </c>
      <c r="G120" s="14" t="n"/>
      <c r="H120" s="14" t="n">
        <v>746</v>
      </c>
      <c r="I120" s="14" t="n">
        <v>283</v>
      </c>
      <c r="J120" s="14" t="n">
        <v>90</v>
      </c>
      <c r="K120" s="14" t="n">
        <v>74</v>
      </c>
      <c r="L120" s="14" t="n">
        <v>28.5</v>
      </c>
    </row>
    <row r="121">
      <c r="A121" s="6" t="inlineStr">
        <is>
          <t>dm_20251112_secano_m1_r2</t>
        </is>
      </c>
      <c r="B121" s="13" t="n">
        <v>45973</v>
      </c>
      <c r="C121" s="12" t="n">
        <v>115</v>
      </c>
      <c r="D121" s="6" t="inlineStr">
        <is>
          <t>Secano</t>
        </is>
      </c>
      <c r="E121" s="6" t="inlineStr">
        <is>
          <t>M1</t>
        </is>
      </c>
      <c r="F121" s="6" t="inlineStr">
        <is>
          <t>R2</t>
        </is>
      </c>
      <c r="G121" s="14" t="n"/>
      <c r="H121" s="14" t="n">
        <v>2402</v>
      </c>
      <c r="I121" s="14" t="n">
        <v>580</v>
      </c>
      <c r="J121" s="14" t="n">
        <v>39</v>
      </c>
      <c r="K121" s="14" t="n">
        <v>149</v>
      </c>
      <c r="L121" s="14" t="n">
        <v>26.9</v>
      </c>
    </row>
    <row r="122">
      <c r="A122" s="6" t="inlineStr">
        <is>
          <t>dm_20251112_secano_m5_r2</t>
        </is>
      </c>
      <c r="B122" s="13" t="n">
        <v>45973</v>
      </c>
      <c r="C122" s="12" t="n">
        <v>116</v>
      </c>
      <c r="D122" s="6" t="inlineStr">
        <is>
          <t>Secano</t>
        </is>
      </c>
      <c r="E122" s="6" t="inlineStr">
        <is>
          <t>M5</t>
        </is>
      </c>
      <c r="F122" s="6" t="inlineStr">
        <is>
          <t>R2</t>
        </is>
      </c>
      <c r="G122" s="14" t="n"/>
      <c r="H122" s="14" t="n">
        <v>1689</v>
      </c>
      <c r="I122" s="14" t="n">
        <v>499</v>
      </c>
      <c r="J122" s="14" t="n">
        <v>106</v>
      </c>
      <c r="K122" s="14" t="n">
        <v>113</v>
      </c>
      <c r="L122" s="14" t="n">
        <v>23.9</v>
      </c>
    </row>
    <row r="123">
      <c r="A123" s="6" t="inlineStr">
        <is>
          <t>dm_20251112_secano_m3_r3</t>
        </is>
      </c>
      <c r="B123" s="13" t="n">
        <v>45973</v>
      </c>
      <c r="C123" s="12" t="n">
        <v>117</v>
      </c>
      <c r="D123" s="6" t="inlineStr">
        <is>
          <t>Secano</t>
        </is>
      </c>
      <c r="E123" s="6" t="inlineStr">
        <is>
          <t>M3</t>
        </is>
      </c>
      <c r="F123" s="6" t="inlineStr">
        <is>
          <t>R3</t>
        </is>
      </c>
      <c r="G123" s="14" t="n"/>
      <c r="H123" s="14" t="n">
        <v>2488</v>
      </c>
      <c r="I123" s="14" t="n">
        <v>542</v>
      </c>
      <c r="J123" s="14" t="n">
        <v>107</v>
      </c>
      <c r="K123" s="14" t="n">
        <v>112</v>
      </c>
      <c r="L123" s="14" t="n">
        <v>21.3</v>
      </c>
    </row>
    <row r="124">
      <c r="A124" s="6" t="inlineStr">
        <is>
          <t>dm_20251112_secano_m4_r3</t>
        </is>
      </c>
      <c r="B124" s="13" t="n">
        <v>45973</v>
      </c>
      <c r="C124" s="12" t="n">
        <v>118</v>
      </c>
      <c r="D124" s="6" t="inlineStr">
        <is>
          <t>Secano</t>
        </is>
      </c>
      <c r="E124" s="6" t="inlineStr">
        <is>
          <t>M4</t>
        </is>
      </c>
      <c r="F124" s="6" t="inlineStr">
        <is>
          <t>R3</t>
        </is>
      </c>
      <c r="G124" s="14" t="n"/>
      <c r="H124" s="14" t="n">
        <v>2280</v>
      </c>
      <c r="I124" s="14" t="n">
        <v>437</v>
      </c>
      <c r="J124" s="14" t="n">
        <v>77</v>
      </c>
      <c r="K124" s="14" t="n">
        <v>101</v>
      </c>
      <c r="L124" s="14" t="n">
        <v>24.5</v>
      </c>
    </row>
    <row r="125">
      <c r="A125" s="6" t="inlineStr">
        <is>
          <t>dm_20251112_secano_m0_r3</t>
        </is>
      </c>
      <c r="B125" s="13" t="n">
        <v>45973</v>
      </c>
      <c r="C125" s="12" t="n">
        <v>119</v>
      </c>
      <c r="D125" s="6" t="inlineStr">
        <is>
          <t>Secano</t>
        </is>
      </c>
      <c r="E125" s="6" t="inlineStr">
        <is>
          <t>M0</t>
        </is>
      </c>
      <c r="F125" s="6" t="inlineStr">
        <is>
          <t>R3</t>
        </is>
      </c>
      <c r="G125" s="14" t="n"/>
      <c r="H125" s="14" t="n">
        <v>1308</v>
      </c>
      <c r="I125" s="14" t="n">
        <v>358</v>
      </c>
      <c r="J125" s="14" t="n">
        <v>76</v>
      </c>
      <c r="K125" s="14" t="n">
        <v>102</v>
      </c>
      <c r="L125" s="14" t="n">
        <v>30.2</v>
      </c>
    </row>
    <row r="126">
      <c r="A126" s="6" t="inlineStr">
        <is>
          <t>dm_20251112_secano_m1_r3</t>
        </is>
      </c>
      <c r="B126" s="13" t="n">
        <v>45973</v>
      </c>
      <c r="C126" s="12" t="n">
        <v>120</v>
      </c>
      <c r="D126" s="6" t="inlineStr">
        <is>
          <t>Secano</t>
        </is>
      </c>
      <c r="E126" s="6" t="inlineStr">
        <is>
          <t>M1</t>
        </is>
      </c>
      <c r="F126" s="6" t="inlineStr">
        <is>
          <t>R3</t>
        </is>
      </c>
      <c r="G126" s="14" t="n"/>
      <c r="H126" s="14" t="n">
        <v>2508</v>
      </c>
      <c r="I126" s="14" t="n">
        <v>507</v>
      </c>
      <c r="J126" s="14" t="n">
        <v>15</v>
      </c>
      <c r="K126" s="14" t="n">
        <v>109</v>
      </c>
      <c r="L126" s="14" t="n">
        <v>22.8</v>
      </c>
    </row>
    <row r="127">
      <c r="A127" s="6" t="inlineStr">
        <is>
          <t>dm_20251112_secano_m5_r3</t>
        </is>
      </c>
      <c r="B127" s="13" t="n">
        <v>45973</v>
      </c>
      <c r="C127" s="12" t="n">
        <v>121</v>
      </c>
      <c r="D127" s="6" t="inlineStr">
        <is>
          <t>Secano</t>
        </is>
      </c>
      <c r="E127" s="6" t="inlineStr">
        <is>
          <t>M5</t>
        </is>
      </c>
      <c r="F127" s="6" t="inlineStr">
        <is>
          <t>R3</t>
        </is>
      </c>
      <c r="G127" s="14" t="n"/>
      <c r="H127" s="14" t="n">
        <v>1554</v>
      </c>
      <c r="I127" s="14" t="n">
        <v>372</v>
      </c>
      <c r="J127" s="14" t="n">
        <v>84</v>
      </c>
      <c r="K127" s="14" t="n">
        <v>89</v>
      </c>
      <c r="L127" s="14" t="n">
        <v>25.6</v>
      </c>
    </row>
    <row r="128">
      <c r="A128" s="6" t="inlineStr">
        <is>
          <t>dm_20251112_secano_m2_r3</t>
        </is>
      </c>
      <c r="B128" s="13" t="n">
        <v>45973</v>
      </c>
      <c r="C128" s="12" t="n">
        <v>122</v>
      </c>
      <c r="D128" s="6" t="inlineStr">
        <is>
          <t>Secano</t>
        </is>
      </c>
      <c r="E128" s="6" t="inlineStr">
        <is>
          <t>M2</t>
        </is>
      </c>
      <c r="F128" s="6" t="inlineStr">
        <is>
          <t>R3</t>
        </is>
      </c>
      <c r="G128" s="14" t="n"/>
      <c r="H128" s="14" t="n">
        <v>1588</v>
      </c>
      <c r="I128" s="14" t="n">
        <v>622</v>
      </c>
      <c r="J128" s="14" t="n">
        <v>30</v>
      </c>
      <c r="K128" s="14" t="n">
        <v>157</v>
      </c>
      <c r="L128" s="14" t="n">
        <v>26.3</v>
      </c>
    </row>
    <row r="129">
      <c r="A129" s="6" t="inlineStr">
        <is>
          <t>dm_20251112_secano_m1_r4</t>
        </is>
      </c>
      <c r="B129" s="13" t="n">
        <v>45973</v>
      </c>
      <c r="C129" s="12" t="n">
        <v>123</v>
      </c>
      <c r="D129" s="6" t="inlineStr">
        <is>
          <t>Secano</t>
        </is>
      </c>
      <c r="E129" s="6" t="inlineStr">
        <is>
          <t>M1</t>
        </is>
      </c>
      <c r="F129" s="6" t="inlineStr">
        <is>
          <t>R4</t>
        </is>
      </c>
      <c r="G129" s="14" t="n"/>
      <c r="H129" s="14" t="n">
        <v>2419</v>
      </c>
      <c r="I129" s="14" t="n">
        <v>1066</v>
      </c>
      <c r="J129" s="14" t="n">
        <v>74</v>
      </c>
      <c r="K129" s="14" t="n">
        <v>219</v>
      </c>
      <c r="L129" s="14" t="n">
        <v>20.9</v>
      </c>
    </row>
    <row r="130">
      <c r="A130" s="6" t="inlineStr">
        <is>
          <t>dm_20251112_secano_m0_r4</t>
        </is>
      </c>
      <c r="B130" s="13" t="n">
        <v>45973</v>
      </c>
      <c r="C130" s="12" t="n">
        <v>124</v>
      </c>
      <c r="D130" s="6" t="inlineStr">
        <is>
          <t>Secano</t>
        </is>
      </c>
      <c r="E130" s="6" t="inlineStr">
        <is>
          <t>M0</t>
        </is>
      </c>
      <c r="F130" s="6" t="inlineStr">
        <is>
          <t>R4</t>
        </is>
      </c>
      <c r="G130" s="14" t="n"/>
      <c r="H130" s="14" t="n">
        <v>1723</v>
      </c>
      <c r="I130" s="14" t="n">
        <v>304</v>
      </c>
      <c r="J130" s="14" t="n">
        <v>1</v>
      </c>
      <c r="K130" s="14" t="n">
        <v>79</v>
      </c>
      <c r="L130" s="14" t="n">
        <v>27.3</v>
      </c>
    </row>
    <row r="131">
      <c r="A131" s="6" t="inlineStr">
        <is>
          <t>dm_20251112_secano_m5_r4</t>
        </is>
      </c>
      <c r="B131" s="13" t="n">
        <v>45973</v>
      </c>
      <c r="C131" s="12" t="n">
        <v>125</v>
      </c>
      <c r="D131" s="6" t="inlineStr">
        <is>
          <t>Secano</t>
        </is>
      </c>
      <c r="E131" s="6" t="inlineStr">
        <is>
          <t>M5</t>
        </is>
      </c>
      <c r="F131" s="6" t="inlineStr">
        <is>
          <t>R4</t>
        </is>
      </c>
      <c r="G131" s="14" t="n"/>
      <c r="H131" s="14" t="n">
        <v>1964</v>
      </c>
      <c r="I131" s="14" t="n">
        <v>476</v>
      </c>
      <c r="J131" s="14" t="n">
        <v>93</v>
      </c>
      <c r="K131" s="14" t="n">
        <v>119</v>
      </c>
      <c r="L131" s="14" t="n">
        <v>26.2</v>
      </c>
    </row>
    <row r="132">
      <c r="A132" s="6" t="inlineStr">
        <is>
          <t>dm_20251112_secano_m4_r4</t>
        </is>
      </c>
      <c r="B132" s="13" t="n">
        <v>45973</v>
      </c>
      <c r="C132" s="12" t="n">
        <v>126</v>
      </c>
      <c r="D132" s="6" t="inlineStr">
        <is>
          <t>Secano</t>
        </is>
      </c>
      <c r="E132" s="6" t="inlineStr">
        <is>
          <t>M4</t>
        </is>
      </c>
      <c r="F132" s="6" t="inlineStr">
        <is>
          <t>R4</t>
        </is>
      </c>
      <c r="G132" s="14" t="n"/>
      <c r="H132" s="14" t="n">
        <v>2142</v>
      </c>
      <c r="I132" s="14" t="n">
        <v>517</v>
      </c>
      <c r="J132" s="14" t="n">
        <v>69</v>
      </c>
      <c r="K132" s="14" t="n">
        <v>109</v>
      </c>
      <c r="L132" s="14" t="n">
        <v>21.8</v>
      </c>
    </row>
    <row r="133">
      <c r="A133" s="6" t="inlineStr">
        <is>
          <t>dm_20251112_secano_m3_r4</t>
        </is>
      </c>
      <c r="B133" s="13" t="n">
        <v>45973</v>
      </c>
      <c r="C133" s="12" t="n">
        <v>127</v>
      </c>
      <c r="D133" s="6" t="inlineStr">
        <is>
          <t>Secano</t>
        </is>
      </c>
      <c r="E133" s="6" t="inlineStr">
        <is>
          <t>M3</t>
        </is>
      </c>
      <c r="F133" s="6" t="inlineStr">
        <is>
          <t>R4</t>
        </is>
      </c>
      <c r="G133" s="14" t="n"/>
      <c r="H133" s="14" t="n">
        <v>2285</v>
      </c>
      <c r="I133" s="14" t="n">
        <v>430</v>
      </c>
      <c r="J133" s="14" t="n">
        <v>22</v>
      </c>
      <c r="K133" s="14" t="n">
        <v>99</v>
      </c>
      <c r="L133" s="14" t="n">
        <v>24.5</v>
      </c>
    </row>
    <row r="134">
      <c r="A134" s="6" t="inlineStr">
        <is>
          <t>dm_20251112_secano_m2_r4</t>
        </is>
      </c>
      <c r="B134" s="13" t="n">
        <v>45973</v>
      </c>
      <c r="C134" s="12" t="n">
        <v>128</v>
      </c>
      <c r="D134" s="6" t="inlineStr">
        <is>
          <t>Secano</t>
        </is>
      </c>
      <c r="E134" s="6" t="inlineStr">
        <is>
          <t>M2</t>
        </is>
      </c>
      <c r="F134" s="6" t="inlineStr">
        <is>
          <t>R4</t>
        </is>
      </c>
      <c r="G134" s="14" t="n"/>
      <c r="H134" s="14" t="n">
        <v>2028</v>
      </c>
      <c r="I134" s="14" t="n">
        <v>405</v>
      </c>
      <c r="J134" s="14" t="n">
        <v>27</v>
      </c>
      <c r="K134" s="14" t="n">
        <v>120</v>
      </c>
      <c r="L134" s="14" t="n">
        <v>29.1</v>
      </c>
    </row>
    <row r="135">
      <c r="A135" s="6" t="inlineStr">
        <is>
          <t>dm_20251112_riego_m0_r1</t>
        </is>
      </c>
      <c r="B135" s="13" t="n">
        <v>45973</v>
      </c>
      <c r="C135" s="12" t="n">
        <v>129</v>
      </c>
      <c r="D135" s="6" t="inlineStr">
        <is>
          <t>Riego</t>
        </is>
      </c>
      <c r="E135" s="6" t="inlineStr">
        <is>
          <t>M0</t>
        </is>
      </c>
      <c r="F135" s="6" t="inlineStr">
        <is>
          <t>R1</t>
        </is>
      </c>
      <c r="G135" s="14" t="n"/>
      <c r="H135" s="14" t="n">
        <v>1519</v>
      </c>
      <c r="I135" s="14" t="n">
        <v>400</v>
      </c>
      <c r="J135" s="14" t="n">
        <v>34</v>
      </c>
      <c r="K135" s="14" t="n">
        <v>113</v>
      </c>
      <c r="L135" s="14" t="n">
        <v>30.1</v>
      </c>
    </row>
    <row r="136">
      <c r="A136" s="6" t="inlineStr">
        <is>
          <t>dm_20251112_riego_m1_r1</t>
        </is>
      </c>
      <c r="B136" s="13" t="n">
        <v>45973</v>
      </c>
      <c r="C136" s="12" t="n">
        <v>130</v>
      </c>
      <c r="D136" s="6" t="inlineStr">
        <is>
          <t>Riego</t>
        </is>
      </c>
      <c r="E136" s="6" t="inlineStr">
        <is>
          <t>M1</t>
        </is>
      </c>
      <c r="F136" s="6" t="inlineStr">
        <is>
          <t>R1</t>
        </is>
      </c>
      <c r="G136" s="14" t="n"/>
      <c r="H136" s="14" t="n">
        <v>2620</v>
      </c>
      <c r="I136" s="14" t="n">
        <v>689</v>
      </c>
      <c r="J136" s="14" t="n">
        <v>86</v>
      </c>
      <c r="K136" s="14" t="n">
        <v>141</v>
      </c>
      <c r="L136" s="14" t="n">
        <v>21.1</v>
      </c>
    </row>
    <row r="137">
      <c r="A137" s="6" t="inlineStr">
        <is>
          <t>dm_20251112_riego_m2_r1</t>
        </is>
      </c>
      <c r="B137" s="13" t="n">
        <v>45973</v>
      </c>
      <c r="C137" s="12" t="n">
        <v>131</v>
      </c>
      <c r="D137" s="6" t="inlineStr">
        <is>
          <t>Riego</t>
        </is>
      </c>
      <c r="E137" s="6" t="inlineStr">
        <is>
          <t>M2</t>
        </is>
      </c>
      <c r="F137" s="6" t="inlineStr">
        <is>
          <t>R1</t>
        </is>
      </c>
      <c r="G137" s="14" t="n"/>
      <c r="H137" s="14" t="n">
        <v>2590</v>
      </c>
      <c r="I137" s="14" t="n">
        <v>520</v>
      </c>
      <c r="J137" s="14" t="n">
        <v>16</v>
      </c>
      <c r="K137" s="14" t="n">
        <v>89</v>
      </c>
      <c r="L137" s="14" t="n">
        <v>17.9</v>
      </c>
    </row>
    <row r="138">
      <c r="A138" s="6" t="inlineStr">
        <is>
          <t>dm_20251112_riego_m3_r1</t>
        </is>
      </c>
      <c r="B138" s="13" t="n">
        <v>45973</v>
      </c>
      <c r="C138" s="12" t="n">
        <v>132</v>
      </c>
      <c r="D138" s="6" t="inlineStr">
        <is>
          <t>Riego</t>
        </is>
      </c>
      <c r="E138" s="6" t="inlineStr">
        <is>
          <t>M3</t>
        </is>
      </c>
      <c r="F138" s="6" t="inlineStr">
        <is>
          <t>R1</t>
        </is>
      </c>
      <c r="G138" s="14" t="n"/>
      <c r="H138" s="14" t="n">
        <v>2010</v>
      </c>
      <c r="I138" s="14" t="n">
        <v>544</v>
      </c>
      <c r="J138" s="14" t="n">
        <v>23</v>
      </c>
      <c r="K138" s="14" t="n">
        <v>115</v>
      </c>
      <c r="L138" s="14" t="n">
        <v>21.9</v>
      </c>
    </row>
    <row r="139">
      <c r="A139" s="6" t="inlineStr">
        <is>
          <t>dm_20251112_riego_m4_r1</t>
        </is>
      </c>
      <c r="B139" s="13" t="n">
        <v>45973</v>
      </c>
      <c r="C139" s="12" t="n">
        <v>133</v>
      </c>
      <c r="D139" s="6" t="inlineStr">
        <is>
          <t>Riego</t>
        </is>
      </c>
      <c r="E139" s="6" t="inlineStr">
        <is>
          <t>M4</t>
        </is>
      </c>
      <c r="F139" s="6" t="inlineStr">
        <is>
          <t>R1</t>
        </is>
      </c>
      <c r="G139" s="14" t="n"/>
      <c r="H139" s="14" t="n">
        <v>2589</v>
      </c>
      <c r="I139" s="14" t="n">
        <v>1074</v>
      </c>
      <c r="J139" s="14" t="n">
        <v>11</v>
      </c>
      <c r="K139" s="14" t="n">
        <v>212</v>
      </c>
      <c r="L139" s="14" t="n">
        <v>20.2</v>
      </c>
    </row>
    <row r="140">
      <c r="A140" s="6" t="inlineStr">
        <is>
          <t>dm_20251112_riego_m5_r1</t>
        </is>
      </c>
      <c r="B140" s="13" t="n">
        <v>45973</v>
      </c>
      <c r="C140" s="12" t="n">
        <v>134</v>
      </c>
      <c r="D140" s="6" t="inlineStr">
        <is>
          <t>Riego</t>
        </is>
      </c>
      <c r="E140" s="6" t="inlineStr">
        <is>
          <t>M5</t>
        </is>
      </c>
      <c r="F140" s="6" t="inlineStr">
        <is>
          <t>R1</t>
        </is>
      </c>
      <c r="G140" s="14" t="n"/>
      <c r="H140" s="14" t="n">
        <v>1880</v>
      </c>
      <c r="I140" s="14" t="n">
        <v>308</v>
      </c>
      <c r="J140" s="14" t="n">
        <v>49</v>
      </c>
      <c r="K140" s="14" t="n">
        <v>57</v>
      </c>
      <c r="L140" s="14" t="n">
        <v>20.3</v>
      </c>
    </row>
    <row r="141">
      <c r="A141" s="6" t="inlineStr">
        <is>
          <t>dm_20251112_riego_m3_r2</t>
        </is>
      </c>
      <c r="B141" s="13" t="n">
        <v>45973</v>
      </c>
      <c r="C141" s="12" t="n">
        <v>135</v>
      </c>
      <c r="D141" s="6" t="inlineStr">
        <is>
          <t>Riego</t>
        </is>
      </c>
      <c r="E141" s="6" t="inlineStr">
        <is>
          <t>M3</t>
        </is>
      </c>
      <c r="F141" s="6" t="inlineStr">
        <is>
          <t>R2</t>
        </is>
      </c>
      <c r="G141" s="14" t="n"/>
      <c r="H141" s="14" t="n">
        <v>1882</v>
      </c>
      <c r="I141" s="14" t="n">
        <v>520</v>
      </c>
      <c r="J141" s="14" t="n">
        <v>98</v>
      </c>
      <c r="K141" s="14" t="n">
        <v>123</v>
      </c>
      <c r="L141" s="14" t="n">
        <v>24.5</v>
      </c>
    </row>
    <row r="142">
      <c r="A142" s="6" t="inlineStr">
        <is>
          <t>dm_20251112_riego_m2_r2</t>
        </is>
      </c>
      <c r="B142" s="13" t="n">
        <v>45973</v>
      </c>
      <c r="C142" s="12" t="n">
        <v>136</v>
      </c>
      <c r="D142" s="6" t="inlineStr">
        <is>
          <t>Riego</t>
        </is>
      </c>
      <c r="E142" s="6" t="inlineStr">
        <is>
          <t>M2</t>
        </is>
      </c>
      <c r="F142" s="6" t="inlineStr">
        <is>
          <t>R2</t>
        </is>
      </c>
      <c r="G142" s="14" t="n"/>
      <c r="H142" s="14" t="n">
        <v>2358</v>
      </c>
      <c r="I142" s="14" t="n">
        <v>769</v>
      </c>
      <c r="J142" s="14" t="n">
        <v>48</v>
      </c>
      <c r="K142" s="14" t="n">
        <v>168</v>
      </c>
      <c r="L142" s="14" t="n">
        <v>22.4</v>
      </c>
    </row>
    <row r="143">
      <c r="A143" s="6" t="inlineStr">
        <is>
          <t>dm_20251112_riego_m4_r2</t>
        </is>
      </c>
      <c r="B143" s="13" t="n">
        <v>45973</v>
      </c>
      <c r="C143" s="12" t="n">
        <v>137</v>
      </c>
      <c r="D143" s="6" t="inlineStr">
        <is>
          <t>Riego</t>
        </is>
      </c>
      <c r="E143" s="6" t="inlineStr">
        <is>
          <t>M4</t>
        </is>
      </c>
      <c r="F143" s="6" t="inlineStr">
        <is>
          <t>R2</t>
        </is>
      </c>
      <c r="G143" s="14" t="n"/>
      <c r="H143" s="14" t="n">
        <v>2190</v>
      </c>
      <c r="I143" s="14" t="n">
        <v>677</v>
      </c>
      <c r="J143" s="14" t="n">
        <v>57</v>
      </c>
      <c r="K143" s="14" t="n">
        <v>156</v>
      </c>
      <c r="L143" s="14" t="n">
        <v>23.7</v>
      </c>
    </row>
    <row r="144">
      <c r="A144" s="6" t="inlineStr">
        <is>
          <t>dm_20251112_riego_m0_r2</t>
        </is>
      </c>
      <c r="B144" s="13" t="n">
        <v>45973</v>
      </c>
      <c r="C144" s="12" t="n">
        <v>138</v>
      </c>
      <c r="D144" s="6" t="inlineStr">
        <is>
          <t>Riego</t>
        </is>
      </c>
      <c r="E144" s="6" t="inlineStr">
        <is>
          <t>M0</t>
        </is>
      </c>
      <c r="F144" s="6" t="inlineStr">
        <is>
          <t>R2</t>
        </is>
      </c>
      <c r="G144" s="14" t="n"/>
      <c r="H144" s="14" t="n">
        <v>2339</v>
      </c>
      <c r="I144" s="14" t="n">
        <v>579</v>
      </c>
      <c r="J144" s="14" t="n">
        <v>88</v>
      </c>
      <c r="K144" s="14" t="n">
        <v>135</v>
      </c>
      <c r="L144" s="14" t="n">
        <v>24.3</v>
      </c>
    </row>
    <row r="145">
      <c r="A145" s="6" t="inlineStr">
        <is>
          <t>dm_20251112_riego_m1_r2</t>
        </is>
      </c>
      <c r="B145" s="13" t="n">
        <v>45973</v>
      </c>
      <c r="C145" s="12" t="n">
        <v>139</v>
      </c>
      <c r="D145" s="6" t="inlineStr">
        <is>
          <t>Riego</t>
        </is>
      </c>
      <c r="E145" s="6" t="inlineStr">
        <is>
          <t>M1</t>
        </is>
      </c>
      <c r="F145" s="6" t="inlineStr">
        <is>
          <t>R2</t>
        </is>
      </c>
      <c r="G145" s="14" t="n"/>
      <c r="H145" s="14" t="n">
        <v>2381</v>
      </c>
      <c r="I145" s="14" t="n">
        <v>410</v>
      </c>
      <c r="J145" s="14" t="n">
        <v>111</v>
      </c>
      <c r="K145" s="14" t="n">
        <v>74</v>
      </c>
      <c r="L145" s="14" t="n">
        <v>19</v>
      </c>
    </row>
    <row r="146">
      <c r="A146" s="6" t="inlineStr">
        <is>
          <t>dm_20251112_riego_m5_r2</t>
        </is>
      </c>
      <c r="B146" s="13" t="n">
        <v>45973</v>
      </c>
      <c r="C146" s="12" t="n">
        <v>140</v>
      </c>
      <c r="D146" s="6" t="inlineStr">
        <is>
          <t>Riego</t>
        </is>
      </c>
      <c r="E146" s="6" t="inlineStr">
        <is>
          <t>M5</t>
        </is>
      </c>
      <c r="F146" s="6" t="inlineStr">
        <is>
          <t>R2</t>
        </is>
      </c>
      <c r="G146" s="14" t="n"/>
      <c r="H146" s="14" t="n">
        <v>2044</v>
      </c>
      <c r="I146" s="14" t="n">
        <v>322</v>
      </c>
      <c r="J146" s="14" t="n">
        <v>28</v>
      </c>
      <c r="K146" s="14" t="n">
        <v>60</v>
      </c>
      <c r="L146" s="14" t="n">
        <v>20.2</v>
      </c>
    </row>
    <row r="147">
      <c r="A147" s="6" t="inlineStr">
        <is>
          <t>dm_20251112_riego_m3_r3</t>
        </is>
      </c>
      <c r="B147" s="13" t="n">
        <v>45973</v>
      </c>
      <c r="C147" s="12" t="n">
        <v>141</v>
      </c>
      <c r="D147" s="6" t="inlineStr">
        <is>
          <t>Riego</t>
        </is>
      </c>
      <c r="E147" s="6" t="inlineStr">
        <is>
          <t>M3</t>
        </is>
      </c>
      <c r="F147" s="6" t="inlineStr">
        <is>
          <t>R3</t>
        </is>
      </c>
      <c r="G147" s="14" t="n"/>
      <c r="H147" s="14" t="n">
        <v>2130</v>
      </c>
      <c r="I147" s="14" t="n">
        <v>570</v>
      </c>
      <c r="J147" s="14" t="n">
        <v>59</v>
      </c>
      <c r="K147" s="14" t="n">
        <v>144</v>
      </c>
      <c r="L147" s="14" t="n">
        <v>26.6</v>
      </c>
    </row>
    <row r="148">
      <c r="A148" s="6" t="inlineStr">
        <is>
          <t>dm_20251112_riego_m4_r3</t>
        </is>
      </c>
      <c r="B148" s="13" t="n">
        <v>45973</v>
      </c>
      <c r="C148" s="12" t="n">
        <v>142</v>
      </c>
      <c r="D148" s="6" t="inlineStr">
        <is>
          <t>Riego</t>
        </is>
      </c>
      <c r="E148" s="6" t="inlineStr">
        <is>
          <t>M4</t>
        </is>
      </c>
      <c r="F148" s="6" t="inlineStr">
        <is>
          <t>R3</t>
        </is>
      </c>
      <c r="G148" s="14" t="n"/>
      <c r="H148" s="14" t="n">
        <v>1969</v>
      </c>
      <c r="I148" s="14" t="n">
        <v>520</v>
      </c>
      <c r="J148" s="14" t="n">
        <v>94</v>
      </c>
      <c r="K148" s="14" t="n">
        <v>111</v>
      </c>
      <c r="L148" s="14" t="n">
        <v>22.4</v>
      </c>
    </row>
    <row r="149">
      <c r="A149" s="6" t="inlineStr">
        <is>
          <t>dm_20251112_riego_m0_r3</t>
        </is>
      </c>
      <c r="B149" s="13" t="n">
        <v>45973</v>
      </c>
      <c r="C149" s="12" t="n">
        <v>143</v>
      </c>
      <c r="D149" s="6" t="inlineStr">
        <is>
          <t>Riego</t>
        </is>
      </c>
      <c r="E149" s="6" t="inlineStr">
        <is>
          <t>M0</t>
        </is>
      </c>
      <c r="F149" s="6" t="inlineStr">
        <is>
          <t>R3</t>
        </is>
      </c>
      <c r="G149" s="14" t="n"/>
      <c r="H149" s="14" t="n">
        <v>1448</v>
      </c>
      <c r="I149" s="14" t="n">
        <v>322</v>
      </c>
      <c r="J149" s="14" t="n">
        <v>12</v>
      </c>
      <c r="K149" s="14" t="n">
        <v>90</v>
      </c>
      <c r="L149" s="14" t="n">
        <v>30</v>
      </c>
    </row>
    <row r="150">
      <c r="A150" s="6" t="inlineStr">
        <is>
          <t>dm_20251112_riego_m1_r3</t>
        </is>
      </c>
      <c r="B150" s="13" t="n">
        <v>45973</v>
      </c>
      <c r="C150" s="12" t="n">
        <v>144</v>
      </c>
      <c r="D150" s="6" t="inlineStr">
        <is>
          <t>Riego</t>
        </is>
      </c>
      <c r="E150" s="6" t="inlineStr">
        <is>
          <t>M1</t>
        </is>
      </c>
      <c r="F150" s="6" t="inlineStr">
        <is>
          <t>R3</t>
        </is>
      </c>
      <c r="G150" s="14" t="n"/>
      <c r="H150" s="14" t="n">
        <v>2836</v>
      </c>
      <c r="I150" s="14" t="n">
        <v>603</v>
      </c>
      <c r="J150" s="14" t="n">
        <v>8</v>
      </c>
      <c r="K150" s="14" t="n">
        <v>119</v>
      </c>
      <c r="L150" s="14" t="n">
        <v>20.3</v>
      </c>
    </row>
    <row r="151">
      <c r="A151" s="6" t="inlineStr">
        <is>
          <t>dm_20251112_riego_m5_r3</t>
        </is>
      </c>
      <c r="B151" s="13" t="n">
        <v>45973</v>
      </c>
      <c r="C151" s="12" t="n">
        <v>145</v>
      </c>
      <c r="D151" s="6" t="inlineStr">
        <is>
          <t>Riego</t>
        </is>
      </c>
      <c r="E151" s="6" t="inlineStr">
        <is>
          <t>M5</t>
        </is>
      </c>
      <c r="F151" s="6" t="inlineStr">
        <is>
          <t>R3</t>
        </is>
      </c>
      <c r="G151" s="14" t="n"/>
      <c r="H151" s="14" t="n">
        <v>1834</v>
      </c>
      <c r="I151" s="14" t="n">
        <v>685</v>
      </c>
      <c r="J151" s="14" t="n">
        <v>21</v>
      </c>
      <c r="K151" s="14" t="n">
        <v>159</v>
      </c>
      <c r="L151" s="14" t="n">
        <v>23.9</v>
      </c>
    </row>
    <row r="152">
      <c r="A152" s="6" t="inlineStr">
        <is>
          <t>dm_20251112_riego_m2_r3</t>
        </is>
      </c>
      <c r="B152" s="13" t="n">
        <v>45973</v>
      </c>
      <c r="C152" s="12" t="n">
        <v>146</v>
      </c>
      <c r="D152" s="6" t="inlineStr">
        <is>
          <t>Riego</t>
        </is>
      </c>
      <c r="E152" s="6" t="inlineStr">
        <is>
          <t>M2</t>
        </is>
      </c>
      <c r="F152" s="6" t="inlineStr">
        <is>
          <t>R3</t>
        </is>
      </c>
      <c r="G152" s="14" t="n"/>
      <c r="H152" s="14" t="n">
        <v>2011</v>
      </c>
      <c r="I152" s="14" t="n">
        <v>400</v>
      </c>
      <c r="J152" s="14" t="n">
        <v>80</v>
      </c>
      <c r="K152" s="14" t="n">
        <v>98</v>
      </c>
      <c r="L152" s="14" t="n">
        <v>26.3</v>
      </c>
    </row>
    <row r="153">
      <c r="A153" s="6" t="inlineStr">
        <is>
          <t>dm_20251112_riego_m1_r4</t>
        </is>
      </c>
      <c r="B153" s="13" t="n">
        <v>45973</v>
      </c>
      <c r="C153" s="12" t="n">
        <v>147</v>
      </c>
      <c r="D153" s="6" t="inlineStr">
        <is>
          <t>Riego</t>
        </is>
      </c>
      <c r="E153" s="6" t="inlineStr">
        <is>
          <t>M1</t>
        </is>
      </c>
      <c r="F153" s="6" t="inlineStr">
        <is>
          <t>R4</t>
        </is>
      </c>
      <c r="G153" s="14" t="n"/>
      <c r="H153" s="14" t="n">
        <v>3149</v>
      </c>
      <c r="I153" s="14" t="n">
        <v>601</v>
      </c>
      <c r="J153" s="14" t="n">
        <v>14</v>
      </c>
      <c r="K153" s="14" t="n">
        <v>130</v>
      </c>
      <c r="L153" s="14" t="n">
        <v>22.1</v>
      </c>
    </row>
    <row r="154">
      <c r="A154" s="6" t="inlineStr">
        <is>
          <t>dm_20251112_riego_m0_r4</t>
        </is>
      </c>
      <c r="B154" s="13" t="n">
        <v>45973</v>
      </c>
      <c r="C154" s="12" t="n">
        <v>148</v>
      </c>
      <c r="D154" s="6" t="inlineStr">
        <is>
          <t>Riego</t>
        </is>
      </c>
      <c r="E154" s="6" t="inlineStr">
        <is>
          <t>M0</t>
        </is>
      </c>
      <c r="F154" s="6" t="inlineStr">
        <is>
          <t>R4</t>
        </is>
      </c>
      <c r="G154" s="14" t="n"/>
      <c r="H154" s="14" t="n">
        <v>1039</v>
      </c>
      <c r="I154" s="14" t="n">
        <v>250</v>
      </c>
      <c r="J154" s="14" t="n">
        <v>64</v>
      </c>
      <c r="K154" s="14" t="n">
        <v>65</v>
      </c>
      <c r="L154" s="14" t="n">
        <v>28.1</v>
      </c>
    </row>
    <row r="155">
      <c r="A155" s="6" t="inlineStr">
        <is>
          <t>dm_20251112_riego_m5_r4</t>
        </is>
      </c>
      <c r="B155" s="13" t="n">
        <v>45973</v>
      </c>
      <c r="C155" s="12" t="n">
        <v>149</v>
      </c>
      <c r="D155" s="6" t="inlineStr">
        <is>
          <t>Riego</t>
        </is>
      </c>
      <c r="E155" s="6" t="inlineStr">
        <is>
          <t>M5</t>
        </is>
      </c>
      <c r="F155" s="6" t="inlineStr">
        <is>
          <t>R4</t>
        </is>
      </c>
      <c r="G155" s="14" t="n"/>
      <c r="H155" s="14" t="n">
        <v>2201</v>
      </c>
      <c r="I155" s="14" t="n">
        <v>292</v>
      </c>
      <c r="J155" s="14" t="n">
        <v>45</v>
      </c>
      <c r="K155" s="14" t="n">
        <v>66.10000000000002</v>
      </c>
      <c r="L155" s="14" t="n">
        <v>23.6</v>
      </c>
    </row>
    <row r="156">
      <c r="A156" s="6" t="inlineStr">
        <is>
          <t>dm_20251112_riego_m4_r4</t>
        </is>
      </c>
      <c r="B156" s="13" t="n">
        <v>45973</v>
      </c>
      <c r="C156" s="12" t="n">
        <v>150</v>
      </c>
      <c r="D156" s="6" t="inlineStr">
        <is>
          <t>Riego</t>
        </is>
      </c>
      <c r="E156" s="6" t="inlineStr">
        <is>
          <t>M4</t>
        </is>
      </c>
      <c r="F156" s="6" t="inlineStr">
        <is>
          <t>R4</t>
        </is>
      </c>
      <c r="G156" s="14" t="n"/>
      <c r="H156" s="14" t="n">
        <v>2650</v>
      </c>
      <c r="I156" s="14" t="n">
        <v>420</v>
      </c>
      <c r="J156" s="14" t="n">
        <v>83</v>
      </c>
      <c r="K156" s="14" t="n">
        <v>118</v>
      </c>
      <c r="L156" s="14" t="n">
        <v>18.2</v>
      </c>
    </row>
    <row r="157">
      <c r="A157" s="6" t="inlineStr">
        <is>
          <t>dm_20251112_riego_m3_r4</t>
        </is>
      </c>
      <c r="B157" s="13" t="n">
        <v>45973</v>
      </c>
      <c r="C157" s="12" t="n">
        <v>151</v>
      </c>
      <c r="D157" s="6" t="inlineStr">
        <is>
          <t>Riego</t>
        </is>
      </c>
      <c r="E157" s="6" t="inlineStr">
        <is>
          <t>M3</t>
        </is>
      </c>
      <c r="F157" s="6" t="inlineStr">
        <is>
          <t>R4</t>
        </is>
      </c>
      <c r="G157" s="14" t="n"/>
      <c r="H157" s="14" t="n">
        <v>2036</v>
      </c>
      <c r="I157" s="14" t="n">
        <v>282</v>
      </c>
      <c r="J157" s="14" t="n">
        <v>89</v>
      </c>
      <c r="K157" s="14" t="n">
        <v>65</v>
      </c>
      <c r="L157" s="14" t="n">
        <v>24.7</v>
      </c>
    </row>
    <row r="158">
      <c r="A158" s="6" t="inlineStr">
        <is>
          <t>dm_20251112_riego_m2_r4</t>
        </is>
      </c>
      <c r="B158" s="13" t="n">
        <v>45973</v>
      </c>
      <c r="C158" s="12" t="n">
        <v>152</v>
      </c>
      <c r="D158" s="6" t="inlineStr">
        <is>
          <t>Riego</t>
        </is>
      </c>
      <c r="E158" s="6" t="inlineStr">
        <is>
          <t>M2</t>
        </is>
      </c>
      <c r="F158" s="6" t="inlineStr">
        <is>
          <t>R4</t>
        </is>
      </c>
      <c r="G158" s="14" t="n"/>
      <c r="H158" s="14" t="n">
        <v>2253</v>
      </c>
      <c r="I158" s="14" t="n">
        <v>667</v>
      </c>
      <c r="J158" s="14" t="n">
        <v>52</v>
      </c>
      <c r="K158" s="14" t="n">
        <v>101</v>
      </c>
      <c r="L158" s="14" t="n">
        <v>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5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  <col width="16" customWidth="1" min="4" max="4"/>
    <col width="13" customWidth="1" min="5" max="5"/>
    <col width="11" customWidth="1" min="6" max="6"/>
    <col width="36" customWidth="1" min="7" max="7"/>
    <col width="28" customWidth="1" min="8" max="8"/>
    <col width="30" customWidth="1" min="9" max="9"/>
    <col width="21" customWidth="1" min="10" max="10"/>
    <col width="15" customWidth="1" min="11" max="11"/>
    <col width="29" customWidth="1" min="12" max="12"/>
    <col width="31" customWidth="1" min="13" max="13"/>
    <col width="42" customWidth="1" min="14" max="14"/>
    <col width="42" customWidth="1" min="15" max="15"/>
    <col width="38" customWidth="1" min="16" max="16"/>
    <col width="42" customWidth="1" min="17" max="17"/>
    <col width="42" customWidth="1" min="18" max="18"/>
    <col width="42" customWidth="1" min="19" max="19"/>
    <col width="42" customWidth="1" min="20" max="20"/>
    <col width="36" customWidth="1" min="21" max="21"/>
  </cols>
  <sheetData>
    <row r="1" ht="25" customHeight="1">
      <c r="A1" s="15" t="inlineStr">
        <is>
          <t>MS calculada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</row>
    <row r="2" ht="31" customHeight="1">
      <c r="A2" s="17" t="inlineStr">
        <is>
          <t>Una fila calculada por observación de materia seca. Origen canónico: dry_matter_calculated.csv. Rol: calculado.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</row>
    <row r="4" ht="38" customHeight="1">
      <c r="A4" s="19" t="inlineStr">
        <is>
          <t>Identificador de observación</t>
        </is>
      </c>
      <c r="B4" s="19" t="inlineStr">
        <is>
          <t>Fecha</t>
        </is>
      </c>
      <c r="C4" s="19" t="inlineStr">
        <is>
          <t>Muestra</t>
        </is>
      </c>
      <c r="D4" s="19" t="inlineStr">
        <is>
          <t>Sector hídrico</t>
        </is>
      </c>
      <c r="E4" s="19" t="inlineStr">
        <is>
          <t>Tratamiento</t>
        </is>
      </c>
      <c r="F4" s="19" t="inlineStr">
        <is>
          <t>Bloque</t>
        </is>
      </c>
      <c r="G4" s="19" t="inlineStr">
        <is>
          <t>Macollos en 30 cm (macollos/30 cm)</t>
        </is>
      </c>
      <c r="H4" s="19" t="inlineStr">
        <is>
          <t>Peso verde en un metro (g)</t>
        </is>
      </c>
      <c r="I4" s="19" t="inlineStr">
        <is>
          <t>Peso verde de la muestra (g)</t>
        </is>
      </c>
      <c r="J4" s="19" t="inlineStr">
        <is>
          <t>Peso de bandeja (g)</t>
        </is>
      </c>
      <c r="K4" s="19" t="inlineStr">
        <is>
          <t>Peso seco (g)</t>
        </is>
      </c>
      <c r="L4" s="19" t="inlineStr">
        <is>
          <t>Materia seca registrada (%)</t>
        </is>
      </c>
      <c r="M4" s="19" t="inlineStr">
        <is>
          <t>Materia seca reconstruida (%)</t>
        </is>
      </c>
      <c r="N4" s="19" t="inlineStr">
        <is>
          <t>Diferencia absoluta de materia seca (puntos porcentuales)</t>
        </is>
      </c>
      <c r="O4" s="19" t="inlineStr">
        <is>
          <t>Diferencia relativa de materia seca (proporción)</t>
        </is>
      </c>
      <c r="P4" s="19" t="inlineStr">
        <is>
          <t>Registro de materia seca a verificar</t>
        </is>
      </c>
      <c r="Q4" s="19" t="inlineStr">
        <is>
          <t>Biomasa informada en el libro histórico (kg MS/ha)</t>
        </is>
      </c>
      <c r="R4" s="19" t="inlineStr">
        <is>
          <t>Biomasa recalculada con materia seca registrada (kg MS/ha)</t>
        </is>
      </c>
      <c r="S4" s="19" t="inlineStr">
        <is>
          <t>Biomasa recalculada con materia seca reconstruida (kg MS/ha)</t>
        </is>
      </c>
      <c r="T4" s="19" t="inlineStr">
        <is>
          <t>Diferencia entre biomasa recalculada e informada (kg MS/ha)</t>
        </is>
      </c>
      <c r="U4" s="19" t="inlineStr">
        <is>
          <t>Densidad de macollos (macollos/m2)</t>
        </is>
      </c>
    </row>
    <row r="5">
      <c r="A5" s="6" t="inlineStr">
        <is>
          <t>dm_20250612_riego_general_r1</t>
        </is>
      </c>
      <c r="B5" s="13">
        <f>INDEX(tblMSRegistrada[Fecha],MATCH(tblMSCalculada[[#This Row],[Identificador de observación]],tblMSRegistrada[Identificador de observación],0))</f>
        <v/>
      </c>
      <c r="C5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5" s="6">
        <f>INDEX(tblMSRegistrada[Sector hídrico],MATCH(tblMSCalculada[[#This Row],[Identificador de observación]],tblMSRegistrada[Identificador de observación],0))</f>
        <v/>
      </c>
      <c r="E5" s="6">
        <f>INDEX(tblMSRegistrada[Tratamiento],MATCH(tblMSCalculada[[#This Row],[Identificador de observación]],tblMSRegistrada[Identificador de observación],0))</f>
        <v/>
      </c>
      <c r="F5" s="6">
        <f>INDEX(tblMSRegistrada[Bloque],MATCH(tblMSCalculada[[#This Row],[Identificador de observación]],tblMSRegistrada[Identificador de observación],0))</f>
        <v/>
      </c>
      <c r="G5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5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5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5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5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5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5" s="14">
        <f>100*tblMSCalculada[[#This Row],[Peso seco (g)]]/tblMSCalculada[[#This Row],[Peso verde de la muestra (g)]]</f>
        <v/>
      </c>
      <c r="N5" s="14">
        <f>ABS(tblMSCalculada[[#This Row],[Materia seca registrada (%)]]-tblMSCalculada[[#This Row],[Materia seca reconstruida (%)]])</f>
        <v/>
      </c>
      <c r="O5" s="14">
        <f>tblMSCalculada[[#This Row],[Diferencia absoluta de materia seca (puntos porcentuales)]]/ABS(tblMSCalculada[[#This Row],[Materia seca registrada (%)]])</f>
        <v/>
      </c>
      <c r="P5" s="6">
        <f>AND(tblMSCalculada[[#This Row],[Diferencia absoluta de materia seca (puntos porcentuales)]]&gt;=5,tblMSCalculada[[#This Row],[Diferencia relativa de materia seca (proporción)]]&gt;=0.20)</f>
        <v/>
      </c>
      <c r="Q5" s="14" t="n">
        <v>4347</v>
      </c>
      <c r="R5" s="14">
        <f>tblMSCalculada[[#This Row],[Peso verde en un metro (g)]]*(tblMSCalculada[[#This Row],[Materia seca registrada (%)]]/100)*10/INDEX(tblMetadatos[Valor],MATCH("biomass_sample_area_m2",tblMetadatos[Parámetro],0))</f>
        <v/>
      </c>
      <c r="S5" s="14">
        <f>tblMSCalculada[[#This Row],[Peso verde en un metro (g)]]*(tblMSCalculada[[#This Row],[Materia seca reconstruida (%)]]/100)*10/INDEX(tblMetadatos[Valor],MATCH("biomass_sample_area_m2",tblMetadatos[Parámetro],0))</f>
        <v/>
      </c>
      <c r="T5" s="14">
        <f>tblMSCalculada[[#This Row],[Biomasa recalculada con materia seca registrada (kg MS/ha)]]-tblMSCalculada[[#This Row],[Biomasa informada en el libro histórico (kg MS/ha)]]</f>
        <v/>
      </c>
      <c r="U5" s="14">
        <f>tblMSCalculada[[#This Row],[Macollos en 30 cm (macollos/30 cm)]]*(100/30)*(100/INDEX(tblMetadatos[Valor],MATCH("row_spacing_cm",tblMetadatos[Parámetro],0)))</f>
        <v/>
      </c>
    </row>
    <row r="6">
      <c r="A6" s="6" t="inlineStr">
        <is>
          <t>dm_20250612_riego_general_r2</t>
        </is>
      </c>
      <c r="B6" s="13">
        <f>INDEX(tblMSRegistrada[Fecha],MATCH(tblMSCalculada[[#This Row],[Identificador de observación]],tblMSRegistrada[Identificador de observación],0))</f>
        <v/>
      </c>
      <c r="C6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6" s="6">
        <f>INDEX(tblMSRegistrada[Sector hídrico],MATCH(tblMSCalculada[[#This Row],[Identificador de observación]],tblMSRegistrada[Identificador de observación],0))</f>
        <v/>
      </c>
      <c r="E6" s="6">
        <f>INDEX(tblMSRegistrada[Tratamiento],MATCH(tblMSCalculada[[#This Row],[Identificador de observación]],tblMSRegistrada[Identificador de observación],0))</f>
        <v/>
      </c>
      <c r="F6" s="6">
        <f>INDEX(tblMSRegistrada[Bloque],MATCH(tblMSCalculada[[#This Row],[Identificador de observación]],tblMSRegistrada[Identificador de observación],0))</f>
        <v/>
      </c>
      <c r="G6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6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6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6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6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6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6" s="14">
        <f>100*tblMSCalculada[[#This Row],[Peso seco (g)]]/tblMSCalculada[[#This Row],[Peso verde de la muestra (g)]]</f>
        <v/>
      </c>
      <c r="N6" s="14">
        <f>ABS(tblMSCalculada[[#This Row],[Materia seca registrada (%)]]-tblMSCalculada[[#This Row],[Materia seca reconstruida (%)]])</f>
        <v/>
      </c>
      <c r="O6" s="14">
        <f>tblMSCalculada[[#This Row],[Diferencia absoluta de materia seca (puntos porcentuales)]]/ABS(tblMSCalculada[[#This Row],[Materia seca registrada (%)]])</f>
        <v/>
      </c>
      <c r="P6" s="6">
        <f>AND(tblMSCalculada[[#This Row],[Diferencia absoluta de materia seca (puntos porcentuales)]]&gt;=5,tblMSCalculada[[#This Row],[Diferencia relativa de materia seca (proporción)]]&gt;=0.20)</f>
        <v/>
      </c>
      <c r="Q6" s="14" t="n">
        <v>2810</v>
      </c>
      <c r="R6" s="14">
        <f>tblMSCalculada[[#This Row],[Peso verde en un metro (g)]]*(tblMSCalculada[[#This Row],[Materia seca registrada (%)]]/100)*10/INDEX(tblMetadatos[Valor],MATCH("biomass_sample_area_m2",tblMetadatos[Parámetro],0))</f>
        <v/>
      </c>
      <c r="S6" s="14">
        <f>tblMSCalculada[[#This Row],[Peso verde en un metro (g)]]*(tblMSCalculada[[#This Row],[Materia seca reconstruida (%)]]/100)*10/INDEX(tblMetadatos[Valor],MATCH("biomass_sample_area_m2",tblMetadatos[Parámetro],0))</f>
        <v/>
      </c>
      <c r="T6" s="14">
        <f>tblMSCalculada[[#This Row],[Biomasa recalculada con materia seca registrada (kg MS/ha)]]-tblMSCalculada[[#This Row],[Biomasa informada en el libro histórico (kg MS/ha)]]</f>
        <v/>
      </c>
      <c r="U6" s="14">
        <f>tblMSCalculada[[#This Row],[Macollos en 30 cm (macollos/30 cm)]]*(100/30)*(100/INDEX(tblMetadatos[Valor],MATCH("row_spacing_cm",tblMetadatos[Parámetro],0)))</f>
        <v/>
      </c>
    </row>
    <row r="7">
      <c r="A7" s="6" t="inlineStr">
        <is>
          <t>dm_20250612_riego_general_r3</t>
        </is>
      </c>
      <c r="B7" s="13">
        <f>INDEX(tblMSRegistrada[Fecha],MATCH(tblMSCalculada[[#This Row],[Identificador de observación]],tblMSRegistrada[Identificador de observación],0))</f>
        <v/>
      </c>
      <c r="C7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7" s="6">
        <f>INDEX(tblMSRegistrada[Sector hídrico],MATCH(tblMSCalculada[[#This Row],[Identificador de observación]],tblMSRegistrada[Identificador de observación],0))</f>
        <v/>
      </c>
      <c r="E7" s="6">
        <f>INDEX(tblMSRegistrada[Tratamiento],MATCH(tblMSCalculada[[#This Row],[Identificador de observación]],tblMSRegistrada[Identificador de observación],0))</f>
        <v/>
      </c>
      <c r="F7" s="6">
        <f>INDEX(tblMSRegistrada[Bloque],MATCH(tblMSCalculada[[#This Row],[Identificador de observación]],tblMSRegistrada[Identificador de observación],0))</f>
        <v/>
      </c>
      <c r="G7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7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7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7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7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7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7" s="14">
        <f>100*tblMSCalculada[[#This Row],[Peso seco (g)]]/tblMSCalculada[[#This Row],[Peso verde de la muestra (g)]]</f>
        <v/>
      </c>
      <c r="N7" s="14">
        <f>ABS(tblMSCalculada[[#This Row],[Materia seca registrada (%)]]-tblMSCalculada[[#This Row],[Materia seca reconstruida (%)]])</f>
        <v/>
      </c>
      <c r="O7" s="14">
        <f>tblMSCalculada[[#This Row],[Diferencia absoluta de materia seca (puntos porcentuales)]]/ABS(tblMSCalculada[[#This Row],[Materia seca registrada (%)]])</f>
        <v/>
      </c>
      <c r="P7" s="6">
        <f>AND(tblMSCalculada[[#This Row],[Diferencia absoluta de materia seca (puntos porcentuales)]]&gt;=5,tblMSCalculada[[#This Row],[Diferencia relativa de materia seca (proporción)]]&gt;=0.20)</f>
        <v/>
      </c>
      <c r="Q7" s="14" t="n">
        <v>4712</v>
      </c>
      <c r="R7" s="14">
        <f>tblMSCalculada[[#This Row],[Peso verde en un metro (g)]]*(tblMSCalculada[[#This Row],[Materia seca registrada (%)]]/100)*10/INDEX(tblMetadatos[Valor],MATCH("biomass_sample_area_m2",tblMetadatos[Parámetro],0))</f>
        <v/>
      </c>
      <c r="S7" s="14">
        <f>tblMSCalculada[[#This Row],[Peso verde en un metro (g)]]*(tblMSCalculada[[#This Row],[Materia seca reconstruida (%)]]/100)*10/INDEX(tblMetadatos[Valor],MATCH("biomass_sample_area_m2",tblMetadatos[Parámetro],0))</f>
        <v/>
      </c>
      <c r="T7" s="14">
        <f>tblMSCalculada[[#This Row],[Biomasa recalculada con materia seca registrada (kg MS/ha)]]-tblMSCalculada[[#This Row],[Biomasa informada en el libro histórico (kg MS/ha)]]</f>
        <v/>
      </c>
      <c r="U7" s="14">
        <f>tblMSCalculada[[#This Row],[Macollos en 30 cm (macollos/30 cm)]]*(100/30)*(100/INDEX(tblMetadatos[Valor],MATCH("row_spacing_cm",tblMetadatos[Parámetro],0)))</f>
        <v/>
      </c>
    </row>
    <row r="8">
      <c r="A8" s="6" t="inlineStr">
        <is>
          <t>dm_20250612_riego_general_r4</t>
        </is>
      </c>
      <c r="B8" s="13">
        <f>INDEX(tblMSRegistrada[Fecha],MATCH(tblMSCalculada[[#This Row],[Identificador de observación]],tblMSRegistrada[Identificador de observación],0))</f>
        <v/>
      </c>
      <c r="C8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8" s="6">
        <f>INDEX(tblMSRegistrada[Sector hídrico],MATCH(tblMSCalculada[[#This Row],[Identificador de observación]],tblMSRegistrada[Identificador de observación],0))</f>
        <v/>
      </c>
      <c r="E8" s="6">
        <f>INDEX(tblMSRegistrada[Tratamiento],MATCH(tblMSCalculada[[#This Row],[Identificador de observación]],tblMSRegistrada[Identificador de observación],0))</f>
        <v/>
      </c>
      <c r="F8" s="6">
        <f>INDEX(tblMSRegistrada[Bloque],MATCH(tblMSCalculada[[#This Row],[Identificador de observación]],tblMSRegistrada[Identificador de observación],0))</f>
        <v/>
      </c>
      <c r="G8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8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8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8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8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8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8" s="14">
        <f>100*tblMSCalculada[[#This Row],[Peso seco (g)]]/tblMSCalculada[[#This Row],[Peso verde de la muestra (g)]]</f>
        <v/>
      </c>
      <c r="N8" s="14">
        <f>ABS(tblMSCalculada[[#This Row],[Materia seca registrada (%)]]-tblMSCalculada[[#This Row],[Materia seca reconstruida (%)]])</f>
        <v/>
      </c>
      <c r="O8" s="14">
        <f>tblMSCalculada[[#This Row],[Diferencia absoluta de materia seca (puntos porcentuales)]]/ABS(tblMSCalculada[[#This Row],[Materia seca registrada (%)]])</f>
        <v/>
      </c>
      <c r="P8" s="6">
        <f>AND(tblMSCalculada[[#This Row],[Diferencia absoluta de materia seca (puntos porcentuales)]]&gt;=5,tblMSCalculada[[#This Row],[Diferencia relativa de materia seca (proporción)]]&gt;=0.20)</f>
        <v/>
      </c>
      <c r="Q8" s="14" t="n">
        <v>3254</v>
      </c>
      <c r="R8" s="14">
        <f>tblMSCalculada[[#This Row],[Peso verde en un metro (g)]]*(tblMSCalculada[[#This Row],[Materia seca registrada (%)]]/100)*10/INDEX(tblMetadatos[Valor],MATCH("biomass_sample_area_m2",tblMetadatos[Parámetro],0))</f>
        <v/>
      </c>
      <c r="S8" s="14">
        <f>tblMSCalculada[[#This Row],[Peso verde en un metro (g)]]*(tblMSCalculada[[#This Row],[Materia seca reconstruida (%)]]/100)*10/INDEX(tblMetadatos[Valor],MATCH("biomass_sample_area_m2",tblMetadatos[Parámetro],0))</f>
        <v/>
      </c>
      <c r="T8" s="14">
        <f>tblMSCalculada[[#This Row],[Biomasa recalculada con materia seca registrada (kg MS/ha)]]-tblMSCalculada[[#This Row],[Biomasa informada en el libro histórico (kg MS/ha)]]</f>
        <v/>
      </c>
      <c r="U8" s="14">
        <f>tblMSCalculada[[#This Row],[Macollos en 30 cm (macollos/30 cm)]]*(100/30)*(100/INDEX(tblMetadatos[Valor],MATCH("row_spacing_cm",tblMetadatos[Parámetro],0)))</f>
        <v/>
      </c>
    </row>
    <row r="9">
      <c r="A9" s="6" t="inlineStr">
        <is>
          <t>dm_20250612_riego_general_r5</t>
        </is>
      </c>
      <c r="B9" s="13">
        <f>INDEX(tblMSRegistrada[Fecha],MATCH(tblMSCalculada[[#This Row],[Identificador de observación]],tblMSRegistrada[Identificador de observación],0))</f>
        <v/>
      </c>
      <c r="C9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9" s="6">
        <f>INDEX(tblMSRegistrada[Sector hídrico],MATCH(tblMSCalculada[[#This Row],[Identificador de observación]],tblMSRegistrada[Identificador de observación],0))</f>
        <v/>
      </c>
      <c r="E9" s="6">
        <f>INDEX(tblMSRegistrada[Tratamiento],MATCH(tblMSCalculada[[#This Row],[Identificador de observación]],tblMSRegistrada[Identificador de observación],0))</f>
        <v/>
      </c>
      <c r="F9" s="6">
        <f>INDEX(tblMSRegistrada[Bloque],MATCH(tblMSCalculada[[#This Row],[Identificador de observación]],tblMSRegistrada[Identificador de observación],0))</f>
        <v/>
      </c>
      <c r="G9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9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9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9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9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9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9" s="14">
        <f>100*tblMSCalculada[[#This Row],[Peso seco (g)]]/tblMSCalculada[[#This Row],[Peso verde de la muestra (g)]]</f>
        <v/>
      </c>
      <c r="N9" s="14">
        <f>ABS(tblMSCalculada[[#This Row],[Materia seca registrada (%)]]-tblMSCalculada[[#This Row],[Materia seca reconstruida (%)]])</f>
        <v/>
      </c>
      <c r="O9" s="14">
        <f>tblMSCalculada[[#This Row],[Diferencia absoluta de materia seca (puntos porcentuales)]]/ABS(tblMSCalculada[[#This Row],[Materia seca registrada (%)]])</f>
        <v/>
      </c>
      <c r="P9" s="6">
        <f>AND(tblMSCalculada[[#This Row],[Diferencia absoluta de materia seca (puntos porcentuales)]]&gt;=5,tblMSCalculada[[#This Row],[Diferencia relativa de materia seca (proporción)]]&gt;=0.20)</f>
        <v/>
      </c>
      <c r="Q9" s="14" t="n"/>
      <c r="R9" s="14">
        <f>tblMSCalculada[[#This Row],[Peso verde en un metro (g)]]*(tblMSCalculada[[#This Row],[Materia seca registrada (%)]]/100)*10/INDEX(tblMetadatos[Valor],MATCH("biomass_sample_area_m2",tblMetadatos[Parámetro],0))</f>
        <v/>
      </c>
      <c r="S9" s="14">
        <f>tblMSCalculada[[#This Row],[Peso verde en un metro (g)]]*(tblMSCalculada[[#This Row],[Materia seca reconstruida (%)]]/100)*10/INDEX(tblMetadatos[Valor],MATCH("biomass_sample_area_m2",tblMetadatos[Parámetro],0))</f>
        <v/>
      </c>
      <c r="T9" s="14">
        <f>tblMSCalculada[[#This Row],[Biomasa recalculada con materia seca registrada (kg MS/ha)]]-tblMSCalculada[[#This Row],[Biomasa informada en el libro histórico (kg MS/ha)]]</f>
        <v/>
      </c>
      <c r="U9" s="14">
        <f>tblMSCalculada[[#This Row],[Macollos en 30 cm (macollos/30 cm)]]*(100/30)*(100/INDEX(tblMetadatos[Valor],MATCH("row_spacing_cm",tblMetadatos[Parámetro],0)))</f>
        <v/>
      </c>
    </row>
    <row r="10">
      <c r="A10" s="6" t="inlineStr">
        <is>
          <t>dm_20250612_secano_general_r1</t>
        </is>
      </c>
      <c r="B10" s="13">
        <f>INDEX(tblMSRegistrada[Fecha],MATCH(tblMSCalculada[[#This Row],[Identificador de observación]],tblMSRegistrada[Identificador de observación],0))</f>
        <v/>
      </c>
      <c r="C10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0" s="6">
        <f>INDEX(tblMSRegistrada[Sector hídrico],MATCH(tblMSCalculada[[#This Row],[Identificador de observación]],tblMSRegistrada[Identificador de observación],0))</f>
        <v/>
      </c>
      <c r="E10" s="6">
        <f>INDEX(tblMSRegistrada[Tratamiento],MATCH(tblMSCalculada[[#This Row],[Identificador de observación]],tblMSRegistrada[Identificador de observación],0))</f>
        <v/>
      </c>
      <c r="F10" s="6">
        <f>INDEX(tblMSRegistrada[Bloque],MATCH(tblMSCalculada[[#This Row],[Identificador de observación]],tblMSRegistrada[Identificador de observación],0))</f>
        <v/>
      </c>
      <c r="G10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0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0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0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0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0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0" s="14">
        <f>100*tblMSCalculada[[#This Row],[Peso seco (g)]]/tblMSCalculada[[#This Row],[Peso verde de la muestra (g)]]</f>
        <v/>
      </c>
      <c r="N10" s="14">
        <f>ABS(tblMSCalculada[[#This Row],[Materia seca registrada (%)]]-tblMSCalculada[[#This Row],[Materia seca reconstruida (%)]])</f>
        <v/>
      </c>
      <c r="O10" s="14">
        <f>tblMSCalculada[[#This Row],[Diferencia absoluta de materia seca (puntos porcentuales)]]/ABS(tblMSCalculada[[#This Row],[Materia seca registrada (%)]])</f>
        <v/>
      </c>
      <c r="P10" s="6">
        <f>AND(tblMSCalculada[[#This Row],[Diferencia absoluta de materia seca (puntos porcentuales)]]&gt;=5,tblMSCalculada[[#This Row],[Diferencia relativa de materia seca (proporción)]]&gt;=0.20)</f>
        <v/>
      </c>
      <c r="Q10" s="14" t="n">
        <v>3696</v>
      </c>
      <c r="R10" s="14">
        <f>tblMSCalculada[[#This Row],[Peso verde en un metro (g)]]*(tblMSCalculada[[#This Row],[Materia seca registrada (%)]]/100)*10/INDEX(tblMetadatos[Valor],MATCH("biomass_sample_area_m2",tblMetadatos[Parámetro],0))</f>
        <v/>
      </c>
      <c r="S10" s="14">
        <f>tblMSCalculada[[#This Row],[Peso verde en un metro (g)]]*(tblMSCalculada[[#This Row],[Materia seca reconstruida (%)]]/100)*10/INDEX(tblMetadatos[Valor],MATCH("biomass_sample_area_m2",tblMetadatos[Parámetro],0))</f>
        <v/>
      </c>
      <c r="T10" s="14">
        <f>tblMSCalculada[[#This Row],[Biomasa recalculada con materia seca registrada (kg MS/ha)]]-tblMSCalculada[[#This Row],[Biomasa informada en el libro histórico (kg MS/ha)]]</f>
        <v/>
      </c>
      <c r="U10" s="14">
        <f>tblMSCalculada[[#This Row],[Macollos en 30 cm (macollos/30 cm)]]*(100/30)*(100/INDEX(tblMetadatos[Valor],MATCH("row_spacing_cm",tblMetadatos[Parámetro],0)))</f>
        <v/>
      </c>
    </row>
    <row r="11">
      <c r="A11" s="6" t="inlineStr">
        <is>
          <t>dm_20250612_secano_general_r2</t>
        </is>
      </c>
      <c r="B11" s="13">
        <f>INDEX(tblMSRegistrada[Fecha],MATCH(tblMSCalculada[[#This Row],[Identificador de observación]],tblMSRegistrada[Identificador de observación],0))</f>
        <v/>
      </c>
      <c r="C11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1" s="6">
        <f>INDEX(tblMSRegistrada[Sector hídrico],MATCH(tblMSCalculada[[#This Row],[Identificador de observación]],tblMSRegistrada[Identificador de observación],0))</f>
        <v/>
      </c>
      <c r="E11" s="6">
        <f>INDEX(tblMSRegistrada[Tratamiento],MATCH(tblMSCalculada[[#This Row],[Identificador de observación]],tblMSRegistrada[Identificador de observación],0))</f>
        <v/>
      </c>
      <c r="F11" s="6">
        <f>INDEX(tblMSRegistrada[Bloque],MATCH(tblMSCalculada[[#This Row],[Identificador de observación]],tblMSRegistrada[Identificador de observación],0))</f>
        <v/>
      </c>
      <c r="G11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1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1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1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1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1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1" s="14">
        <f>100*tblMSCalculada[[#This Row],[Peso seco (g)]]/tblMSCalculada[[#This Row],[Peso verde de la muestra (g)]]</f>
        <v/>
      </c>
      <c r="N11" s="14">
        <f>ABS(tblMSCalculada[[#This Row],[Materia seca registrada (%)]]-tblMSCalculada[[#This Row],[Materia seca reconstruida (%)]])</f>
        <v/>
      </c>
      <c r="O11" s="14">
        <f>tblMSCalculada[[#This Row],[Diferencia absoluta de materia seca (puntos porcentuales)]]/ABS(tblMSCalculada[[#This Row],[Materia seca registrada (%)]])</f>
        <v/>
      </c>
      <c r="P11" s="6">
        <f>AND(tblMSCalculada[[#This Row],[Diferencia absoluta de materia seca (puntos porcentuales)]]&gt;=5,tblMSCalculada[[#This Row],[Diferencia relativa de materia seca (proporción)]]&gt;=0.20)</f>
        <v/>
      </c>
      <c r="Q11" s="14" t="n">
        <v>5012</v>
      </c>
      <c r="R11" s="14">
        <f>tblMSCalculada[[#This Row],[Peso verde en un metro (g)]]*(tblMSCalculada[[#This Row],[Materia seca registrada (%)]]/100)*10/INDEX(tblMetadatos[Valor],MATCH("biomass_sample_area_m2",tblMetadatos[Parámetro],0))</f>
        <v/>
      </c>
      <c r="S11" s="14">
        <f>tblMSCalculada[[#This Row],[Peso verde en un metro (g)]]*(tblMSCalculada[[#This Row],[Materia seca reconstruida (%)]]/100)*10/INDEX(tblMetadatos[Valor],MATCH("biomass_sample_area_m2",tblMetadatos[Parámetro],0))</f>
        <v/>
      </c>
      <c r="T11" s="14">
        <f>tblMSCalculada[[#This Row],[Biomasa recalculada con materia seca registrada (kg MS/ha)]]-tblMSCalculada[[#This Row],[Biomasa informada en el libro histórico (kg MS/ha)]]</f>
        <v/>
      </c>
      <c r="U11" s="14">
        <f>tblMSCalculada[[#This Row],[Macollos en 30 cm (macollos/30 cm)]]*(100/30)*(100/INDEX(tblMetadatos[Valor],MATCH("row_spacing_cm",tblMetadatos[Parámetro],0)))</f>
        <v/>
      </c>
    </row>
    <row r="12">
      <c r="A12" s="6" t="inlineStr">
        <is>
          <t>dm_20250612_secano_general_r3</t>
        </is>
      </c>
      <c r="B12" s="13">
        <f>INDEX(tblMSRegistrada[Fecha],MATCH(tblMSCalculada[[#This Row],[Identificador de observación]],tblMSRegistrada[Identificador de observación],0))</f>
        <v/>
      </c>
      <c r="C12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2" s="6">
        <f>INDEX(tblMSRegistrada[Sector hídrico],MATCH(tblMSCalculada[[#This Row],[Identificador de observación]],tblMSRegistrada[Identificador de observación],0))</f>
        <v/>
      </c>
      <c r="E12" s="6">
        <f>INDEX(tblMSRegistrada[Tratamiento],MATCH(tblMSCalculada[[#This Row],[Identificador de observación]],tblMSRegistrada[Identificador de observación],0))</f>
        <v/>
      </c>
      <c r="F12" s="6">
        <f>INDEX(tblMSRegistrada[Bloque],MATCH(tblMSCalculada[[#This Row],[Identificador de observación]],tblMSRegistrada[Identificador de observación],0))</f>
        <v/>
      </c>
      <c r="G12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2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2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2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2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2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2" s="14">
        <f>100*tblMSCalculada[[#This Row],[Peso seco (g)]]/tblMSCalculada[[#This Row],[Peso verde de la muestra (g)]]</f>
        <v/>
      </c>
      <c r="N12" s="14">
        <f>ABS(tblMSCalculada[[#This Row],[Materia seca registrada (%)]]-tblMSCalculada[[#This Row],[Materia seca reconstruida (%)]])</f>
        <v/>
      </c>
      <c r="O12" s="14">
        <f>tblMSCalculada[[#This Row],[Diferencia absoluta de materia seca (puntos porcentuales)]]/ABS(tblMSCalculada[[#This Row],[Materia seca registrada (%)]])</f>
        <v/>
      </c>
      <c r="P12" s="6">
        <f>AND(tblMSCalculada[[#This Row],[Diferencia absoluta de materia seca (puntos porcentuales)]]&gt;=5,tblMSCalculada[[#This Row],[Diferencia relativa de materia seca (proporción)]]&gt;=0.20)</f>
        <v/>
      </c>
      <c r="Q12" s="14" t="n">
        <v>3642</v>
      </c>
      <c r="R12" s="14">
        <f>tblMSCalculada[[#This Row],[Peso verde en un metro (g)]]*(tblMSCalculada[[#This Row],[Materia seca registrada (%)]]/100)*10/INDEX(tblMetadatos[Valor],MATCH("biomass_sample_area_m2",tblMetadatos[Parámetro],0))</f>
        <v/>
      </c>
      <c r="S12" s="14">
        <f>tblMSCalculada[[#This Row],[Peso verde en un metro (g)]]*(tblMSCalculada[[#This Row],[Materia seca reconstruida (%)]]/100)*10/INDEX(tblMetadatos[Valor],MATCH("biomass_sample_area_m2",tblMetadatos[Parámetro],0))</f>
        <v/>
      </c>
      <c r="T12" s="14">
        <f>tblMSCalculada[[#This Row],[Biomasa recalculada con materia seca registrada (kg MS/ha)]]-tblMSCalculada[[#This Row],[Biomasa informada en el libro histórico (kg MS/ha)]]</f>
        <v/>
      </c>
      <c r="U12" s="14">
        <f>tblMSCalculada[[#This Row],[Macollos en 30 cm (macollos/30 cm)]]*(100/30)*(100/INDEX(tblMetadatos[Valor],MATCH("row_spacing_cm",tblMetadatos[Parámetro],0)))</f>
        <v/>
      </c>
    </row>
    <row r="13">
      <c r="A13" s="6" t="inlineStr">
        <is>
          <t>dm_20250612_secano_general_r4</t>
        </is>
      </c>
      <c r="B13" s="13">
        <f>INDEX(tblMSRegistrada[Fecha],MATCH(tblMSCalculada[[#This Row],[Identificador de observación]],tblMSRegistrada[Identificador de observación],0))</f>
        <v/>
      </c>
      <c r="C13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3" s="6">
        <f>INDEX(tblMSRegistrada[Sector hídrico],MATCH(tblMSCalculada[[#This Row],[Identificador de observación]],tblMSRegistrada[Identificador de observación],0))</f>
        <v/>
      </c>
      <c r="E13" s="6">
        <f>INDEX(tblMSRegistrada[Tratamiento],MATCH(tblMSCalculada[[#This Row],[Identificador de observación]],tblMSRegistrada[Identificador de observación],0))</f>
        <v/>
      </c>
      <c r="F13" s="6">
        <f>INDEX(tblMSRegistrada[Bloque],MATCH(tblMSCalculada[[#This Row],[Identificador de observación]],tblMSRegistrada[Identificador de observación],0))</f>
        <v/>
      </c>
      <c r="G13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3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3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3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3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3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3" s="14">
        <f>100*tblMSCalculada[[#This Row],[Peso seco (g)]]/tblMSCalculada[[#This Row],[Peso verde de la muestra (g)]]</f>
        <v/>
      </c>
      <c r="N13" s="14">
        <f>ABS(tblMSCalculada[[#This Row],[Materia seca registrada (%)]]-tblMSCalculada[[#This Row],[Materia seca reconstruida (%)]])</f>
        <v/>
      </c>
      <c r="O13" s="14">
        <f>tblMSCalculada[[#This Row],[Diferencia absoluta de materia seca (puntos porcentuales)]]/ABS(tblMSCalculada[[#This Row],[Materia seca registrada (%)]])</f>
        <v/>
      </c>
      <c r="P13" s="6">
        <f>AND(tblMSCalculada[[#This Row],[Diferencia absoluta de materia seca (puntos porcentuales)]]&gt;=5,tblMSCalculada[[#This Row],[Diferencia relativa de materia seca (proporción)]]&gt;=0.20)</f>
        <v/>
      </c>
      <c r="Q13" s="14" t="n">
        <v>2682</v>
      </c>
      <c r="R13" s="14">
        <f>tblMSCalculada[[#This Row],[Peso verde en un metro (g)]]*(tblMSCalculada[[#This Row],[Materia seca registrada (%)]]/100)*10/INDEX(tblMetadatos[Valor],MATCH("biomass_sample_area_m2",tblMetadatos[Parámetro],0))</f>
        <v/>
      </c>
      <c r="S13" s="14">
        <f>tblMSCalculada[[#This Row],[Peso verde en un metro (g)]]*(tblMSCalculada[[#This Row],[Materia seca reconstruida (%)]]/100)*10/INDEX(tblMetadatos[Valor],MATCH("biomass_sample_area_m2",tblMetadatos[Parámetro],0))</f>
        <v/>
      </c>
      <c r="T13" s="14">
        <f>tblMSCalculada[[#This Row],[Biomasa recalculada con materia seca registrada (kg MS/ha)]]-tblMSCalculada[[#This Row],[Biomasa informada en el libro histórico (kg MS/ha)]]</f>
        <v/>
      </c>
      <c r="U13" s="14">
        <f>tblMSCalculada[[#This Row],[Macollos en 30 cm (macollos/30 cm)]]*(100/30)*(100/INDEX(tblMetadatos[Valor],MATCH("row_spacing_cm",tblMetadatos[Parámetro],0)))</f>
        <v/>
      </c>
    </row>
    <row r="14">
      <c r="A14" s="6" t="inlineStr">
        <is>
          <t>dm_20250612_secano_general_r5</t>
        </is>
      </c>
      <c r="B14" s="13">
        <f>INDEX(tblMSRegistrada[Fecha],MATCH(tblMSCalculada[[#This Row],[Identificador de observación]],tblMSRegistrada[Identificador de observación],0))</f>
        <v/>
      </c>
      <c r="C14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4" s="6">
        <f>INDEX(tblMSRegistrada[Sector hídrico],MATCH(tblMSCalculada[[#This Row],[Identificador de observación]],tblMSRegistrada[Identificador de observación],0))</f>
        <v/>
      </c>
      <c r="E14" s="6">
        <f>INDEX(tblMSRegistrada[Tratamiento],MATCH(tblMSCalculada[[#This Row],[Identificador de observación]],tblMSRegistrada[Identificador de observación],0))</f>
        <v/>
      </c>
      <c r="F14" s="6">
        <f>INDEX(tblMSRegistrada[Bloque],MATCH(tblMSCalculada[[#This Row],[Identificador de observación]],tblMSRegistrada[Identificador de observación],0))</f>
        <v/>
      </c>
      <c r="G14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4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4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4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4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4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4" s="14">
        <f>100*tblMSCalculada[[#This Row],[Peso seco (g)]]/tblMSCalculada[[#This Row],[Peso verde de la muestra (g)]]</f>
        <v/>
      </c>
      <c r="N14" s="14">
        <f>ABS(tblMSCalculada[[#This Row],[Materia seca registrada (%)]]-tblMSCalculada[[#This Row],[Materia seca reconstruida (%)]])</f>
        <v/>
      </c>
      <c r="O14" s="14">
        <f>tblMSCalculada[[#This Row],[Diferencia absoluta de materia seca (puntos porcentuales)]]/ABS(tblMSCalculada[[#This Row],[Materia seca registrada (%)]])</f>
        <v/>
      </c>
      <c r="P14" s="6">
        <f>AND(tblMSCalculada[[#This Row],[Diferencia absoluta de materia seca (puntos porcentuales)]]&gt;=5,tblMSCalculada[[#This Row],[Diferencia relativa de materia seca (proporción)]]&gt;=0.20)</f>
        <v/>
      </c>
      <c r="Q14" s="14" t="n"/>
      <c r="R14" s="14">
        <f>tblMSCalculada[[#This Row],[Peso verde en un metro (g)]]*(tblMSCalculada[[#This Row],[Materia seca registrada (%)]]/100)*10/INDEX(tblMetadatos[Valor],MATCH("biomass_sample_area_m2",tblMetadatos[Parámetro],0))</f>
        <v/>
      </c>
      <c r="S14" s="14">
        <f>tblMSCalculada[[#This Row],[Peso verde en un metro (g)]]*(tblMSCalculada[[#This Row],[Materia seca reconstruida (%)]]/100)*10/INDEX(tblMetadatos[Valor],MATCH("biomass_sample_area_m2",tblMetadatos[Parámetro],0))</f>
        <v/>
      </c>
      <c r="T14" s="14">
        <f>tblMSCalculada[[#This Row],[Biomasa recalculada con materia seca registrada (kg MS/ha)]]-tblMSCalculada[[#This Row],[Biomasa informada en el libro histórico (kg MS/ha)]]</f>
        <v/>
      </c>
      <c r="U14" s="14">
        <f>tblMSCalculada[[#This Row],[Macollos en 30 cm (macollos/30 cm)]]*(100/30)*(100/INDEX(tblMetadatos[Valor],MATCH("row_spacing_cm",tblMetadatos[Parámetro],0)))</f>
        <v/>
      </c>
    </row>
    <row r="15">
      <c r="A15" s="6" t="inlineStr">
        <is>
          <t>dm_20250916_secano_m0_r1</t>
        </is>
      </c>
      <c r="B15" s="13">
        <f>INDEX(tblMSRegistrada[Fecha],MATCH(tblMSCalculada[[#This Row],[Identificador de observación]],tblMSRegistrada[Identificador de observación],0))</f>
        <v/>
      </c>
      <c r="C15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5" s="6">
        <f>INDEX(tblMSRegistrada[Sector hídrico],MATCH(tblMSCalculada[[#This Row],[Identificador de observación]],tblMSRegistrada[Identificador de observación],0))</f>
        <v/>
      </c>
      <c r="E15" s="6">
        <f>INDEX(tblMSRegistrada[Tratamiento],MATCH(tblMSCalculada[[#This Row],[Identificador de observación]],tblMSRegistrada[Identificador de observación],0))</f>
        <v/>
      </c>
      <c r="F15" s="6">
        <f>INDEX(tblMSRegistrada[Bloque],MATCH(tblMSCalculada[[#This Row],[Identificador de observación]],tblMSRegistrada[Identificador de observación],0))</f>
        <v/>
      </c>
      <c r="G15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5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5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5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5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5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5" s="14">
        <f>100*tblMSCalculada[[#This Row],[Peso seco (g)]]/tblMSCalculada[[#This Row],[Peso verde de la muestra (g)]]</f>
        <v/>
      </c>
      <c r="N15" s="14">
        <f>ABS(tblMSCalculada[[#This Row],[Materia seca registrada (%)]]-tblMSCalculada[[#This Row],[Materia seca reconstruida (%)]])</f>
        <v/>
      </c>
      <c r="O15" s="14">
        <f>tblMSCalculada[[#This Row],[Diferencia absoluta de materia seca (puntos porcentuales)]]/ABS(tblMSCalculada[[#This Row],[Materia seca registrada (%)]])</f>
        <v/>
      </c>
      <c r="P15" s="6">
        <f>AND(tblMSCalculada[[#This Row],[Diferencia absoluta de materia seca (puntos porcentuales)]]&gt;=5,tblMSCalculada[[#This Row],[Diferencia relativa de materia seca (proporción)]]&gt;=0.20)</f>
        <v/>
      </c>
      <c r="Q15" s="14" t="n">
        <v>5214</v>
      </c>
      <c r="R15" s="14">
        <f>tblMSCalculada[[#This Row],[Peso verde en un metro (g)]]*(tblMSCalculada[[#This Row],[Materia seca registrada (%)]]/100)*10/INDEX(tblMetadatos[Valor],MATCH("biomass_sample_area_m2",tblMetadatos[Parámetro],0))</f>
        <v/>
      </c>
      <c r="S15" s="14">
        <f>tblMSCalculada[[#This Row],[Peso verde en un metro (g)]]*(tblMSCalculada[[#This Row],[Materia seca reconstruida (%)]]/100)*10/INDEX(tblMetadatos[Valor],MATCH("biomass_sample_area_m2",tblMetadatos[Parámetro],0))</f>
        <v/>
      </c>
      <c r="T15" s="14">
        <f>tblMSCalculada[[#This Row],[Biomasa recalculada con materia seca registrada (kg MS/ha)]]-tblMSCalculada[[#This Row],[Biomasa informada en el libro histórico (kg MS/ha)]]</f>
        <v/>
      </c>
      <c r="U15" s="14">
        <f>tblMSCalculada[[#This Row],[Macollos en 30 cm (macollos/30 cm)]]*(100/30)*(100/INDEX(tblMetadatos[Valor],MATCH("row_spacing_cm",tblMetadatos[Parámetro],0)))</f>
        <v/>
      </c>
    </row>
    <row r="16">
      <c r="A16" s="6" t="inlineStr">
        <is>
          <t>dm_20250916_secano_m1_r1</t>
        </is>
      </c>
      <c r="B16" s="13">
        <f>INDEX(tblMSRegistrada[Fecha],MATCH(tblMSCalculada[[#This Row],[Identificador de observación]],tblMSRegistrada[Identificador de observación],0))</f>
        <v/>
      </c>
      <c r="C16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6" s="6">
        <f>INDEX(tblMSRegistrada[Sector hídrico],MATCH(tblMSCalculada[[#This Row],[Identificador de observación]],tblMSRegistrada[Identificador de observación],0))</f>
        <v/>
      </c>
      <c r="E16" s="6">
        <f>INDEX(tblMSRegistrada[Tratamiento],MATCH(tblMSCalculada[[#This Row],[Identificador de observación]],tblMSRegistrada[Identificador de observación],0))</f>
        <v/>
      </c>
      <c r="F16" s="6">
        <f>INDEX(tblMSRegistrada[Bloque],MATCH(tblMSCalculada[[#This Row],[Identificador de observación]],tblMSRegistrada[Identificador de observación],0))</f>
        <v/>
      </c>
      <c r="G16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6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6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6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6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6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6" s="14">
        <f>100*tblMSCalculada[[#This Row],[Peso seco (g)]]/tblMSCalculada[[#This Row],[Peso verde de la muestra (g)]]</f>
        <v/>
      </c>
      <c r="N16" s="14">
        <f>ABS(tblMSCalculada[[#This Row],[Materia seca registrada (%)]]-tblMSCalculada[[#This Row],[Materia seca reconstruida (%)]])</f>
        <v/>
      </c>
      <c r="O16" s="14">
        <f>tblMSCalculada[[#This Row],[Diferencia absoluta de materia seca (puntos porcentuales)]]/ABS(tblMSCalculada[[#This Row],[Materia seca registrada (%)]])</f>
        <v/>
      </c>
      <c r="P16" s="6">
        <f>AND(tblMSCalculada[[#This Row],[Diferencia absoluta de materia seca (puntos porcentuales)]]&gt;=5,tblMSCalculada[[#This Row],[Diferencia relativa de materia seca (proporción)]]&gt;=0.20)</f>
        <v/>
      </c>
      <c r="Q16" s="14" t="n">
        <v>7444</v>
      </c>
      <c r="R16" s="14">
        <f>tblMSCalculada[[#This Row],[Peso verde en un metro (g)]]*(tblMSCalculada[[#This Row],[Materia seca registrada (%)]]/100)*10/INDEX(tblMetadatos[Valor],MATCH("biomass_sample_area_m2",tblMetadatos[Parámetro],0))</f>
        <v/>
      </c>
      <c r="S16" s="14">
        <f>tblMSCalculada[[#This Row],[Peso verde en un metro (g)]]*(tblMSCalculada[[#This Row],[Materia seca reconstruida (%)]]/100)*10/INDEX(tblMetadatos[Valor],MATCH("biomass_sample_area_m2",tblMetadatos[Parámetro],0))</f>
        <v/>
      </c>
      <c r="T16" s="14">
        <f>tblMSCalculada[[#This Row],[Biomasa recalculada con materia seca registrada (kg MS/ha)]]-tblMSCalculada[[#This Row],[Biomasa informada en el libro histórico (kg MS/ha)]]</f>
        <v/>
      </c>
      <c r="U16" s="14">
        <f>tblMSCalculada[[#This Row],[Macollos en 30 cm (macollos/30 cm)]]*(100/30)*(100/INDEX(tblMetadatos[Valor],MATCH("row_spacing_cm",tblMetadatos[Parámetro],0)))</f>
        <v/>
      </c>
    </row>
    <row r="17">
      <c r="A17" s="6" t="inlineStr">
        <is>
          <t>dm_20250916_secano_m2_r1</t>
        </is>
      </c>
      <c r="B17" s="13">
        <f>INDEX(tblMSRegistrada[Fecha],MATCH(tblMSCalculada[[#This Row],[Identificador de observación]],tblMSRegistrada[Identificador de observación],0))</f>
        <v/>
      </c>
      <c r="C17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7" s="6">
        <f>INDEX(tblMSRegistrada[Sector hídrico],MATCH(tblMSCalculada[[#This Row],[Identificador de observación]],tblMSRegistrada[Identificador de observación],0))</f>
        <v/>
      </c>
      <c r="E17" s="6">
        <f>INDEX(tblMSRegistrada[Tratamiento],MATCH(tblMSCalculada[[#This Row],[Identificador de observación]],tblMSRegistrada[Identificador de observación],0))</f>
        <v/>
      </c>
      <c r="F17" s="6">
        <f>INDEX(tblMSRegistrada[Bloque],MATCH(tblMSCalculada[[#This Row],[Identificador de observación]],tblMSRegistrada[Identificador de observación],0))</f>
        <v/>
      </c>
      <c r="G17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7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7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7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7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7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7" s="14">
        <f>100*tblMSCalculada[[#This Row],[Peso seco (g)]]/tblMSCalculada[[#This Row],[Peso verde de la muestra (g)]]</f>
        <v/>
      </c>
      <c r="N17" s="14">
        <f>ABS(tblMSCalculada[[#This Row],[Materia seca registrada (%)]]-tblMSCalculada[[#This Row],[Materia seca reconstruida (%)]])</f>
        <v/>
      </c>
      <c r="O17" s="14">
        <f>tblMSCalculada[[#This Row],[Diferencia absoluta de materia seca (puntos porcentuales)]]/ABS(tblMSCalculada[[#This Row],[Materia seca registrada (%)]])</f>
        <v/>
      </c>
      <c r="P17" s="6">
        <f>AND(tblMSCalculada[[#This Row],[Diferencia absoluta de materia seca (puntos porcentuales)]]&gt;=5,tblMSCalculada[[#This Row],[Diferencia relativa de materia seca (proporción)]]&gt;=0.20)</f>
        <v/>
      </c>
      <c r="Q17" s="14" t="n">
        <v>8481</v>
      </c>
      <c r="R17" s="14">
        <f>tblMSCalculada[[#This Row],[Peso verde en un metro (g)]]*(tblMSCalculada[[#This Row],[Materia seca registrada (%)]]/100)*10/INDEX(tblMetadatos[Valor],MATCH("biomass_sample_area_m2",tblMetadatos[Parámetro],0))</f>
        <v/>
      </c>
      <c r="S17" s="14">
        <f>tblMSCalculada[[#This Row],[Peso verde en un metro (g)]]*(tblMSCalculada[[#This Row],[Materia seca reconstruida (%)]]/100)*10/INDEX(tblMetadatos[Valor],MATCH("biomass_sample_area_m2",tblMetadatos[Parámetro],0))</f>
        <v/>
      </c>
      <c r="T17" s="14">
        <f>tblMSCalculada[[#This Row],[Biomasa recalculada con materia seca registrada (kg MS/ha)]]-tblMSCalculada[[#This Row],[Biomasa informada en el libro histórico (kg MS/ha)]]</f>
        <v/>
      </c>
      <c r="U17" s="14">
        <f>tblMSCalculada[[#This Row],[Macollos en 30 cm (macollos/30 cm)]]*(100/30)*(100/INDEX(tblMetadatos[Valor],MATCH("row_spacing_cm",tblMetadatos[Parámetro],0)))</f>
        <v/>
      </c>
    </row>
    <row r="18">
      <c r="A18" s="6" t="inlineStr">
        <is>
          <t>dm_20250916_secano_m3_r1</t>
        </is>
      </c>
      <c r="B18" s="13">
        <f>INDEX(tblMSRegistrada[Fecha],MATCH(tblMSCalculada[[#This Row],[Identificador de observación]],tblMSRegistrada[Identificador de observación],0))</f>
        <v/>
      </c>
      <c r="C18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8" s="6">
        <f>INDEX(tblMSRegistrada[Sector hídrico],MATCH(tblMSCalculada[[#This Row],[Identificador de observación]],tblMSRegistrada[Identificador de observación],0))</f>
        <v/>
      </c>
      <c r="E18" s="6">
        <f>INDEX(tblMSRegistrada[Tratamiento],MATCH(tblMSCalculada[[#This Row],[Identificador de observación]],tblMSRegistrada[Identificador de observación],0))</f>
        <v/>
      </c>
      <c r="F18" s="6">
        <f>INDEX(tblMSRegistrada[Bloque],MATCH(tblMSCalculada[[#This Row],[Identificador de observación]],tblMSRegistrada[Identificador de observación],0))</f>
        <v/>
      </c>
      <c r="G18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8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8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8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8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8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8" s="14">
        <f>100*tblMSCalculada[[#This Row],[Peso seco (g)]]/tblMSCalculada[[#This Row],[Peso verde de la muestra (g)]]</f>
        <v/>
      </c>
      <c r="N18" s="14">
        <f>ABS(tblMSCalculada[[#This Row],[Materia seca registrada (%)]]-tblMSCalculada[[#This Row],[Materia seca reconstruida (%)]])</f>
        <v/>
      </c>
      <c r="O18" s="14">
        <f>tblMSCalculada[[#This Row],[Diferencia absoluta de materia seca (puntos porcentuales)]]/ABS(tblMSCalculada[[#This Row],[Materia seca registrada (%)]])</f>
        <v/>
      </c>
      <c r="P18" s="6">
        <f>AND(tblMSCalculada[[#This Row],[Diferencia absoluta de materia seca (puntos porcentuales)]]&gt;=5,tblMSCalculada[[#This Row],[Diferencia relativa de materia seca (proporción)]]&gt;=0.20)</f>
        <v/>
      </c>
      <c r="Q18" s="14" t="n">
        <v>3764</v>
      </c>
      <c r="R18" s="14">
        <f>tblMSCalculada[[#This Row],[Peso verde en un metro (g)]]*(tblMSCalculada[[#This Row],[Materia seca registrada (%)]]/100)*10/INDEX(tblMetadatos[Valor],MATCH("biomass_sample_area_m2",tblMetadatos[Parámetro],0))</f>
        <v/>
      </c>
      <c r="S18" s="14">
        <f>tblMSCalculada[[#This Row],[Peso verde en un metro (g)]]*(tblMSCalculada[[#This Row],[Materia seca reconstruida (%)]]/100)*10/INDEX(tblMetadatos[Valor],MATCH("biomass_sample_area_m2",tblMetadatos[Parámetro],0))</f>
        <v/>
      </c>
      <c r="T18" s="14">
        <f>tblMSCalculada[[#This Row],[Biomasa recalculada con materia seca registrada (kg MS/ha)]]-tblMSCalculada[[#This Row],[Biomasa informada en el libro histórico (kg MS/ha)]]</f>
        <v/>
      </c>
      <c r="U18" s="14">
        <f>tblMSCalculada[[#This Row],[Macollos en 30 cm (macollos/30 cm)]]*(100/30)*(100/INDEX(tblMetadatos[Valor],MATCH("row_spacing_cm",tblMetadatos[Parámetro],0)))</f>
        <v/>
      </c>
    </row>
    <row r="19">
      <c r="A19" s="6" t="inlineStr">
        <is>
          <t>dm_20250916_secano_m4_r1</t>
        </is>
      </c>
      <c r="B19" s="13">
        <f>INDEX(tblMSRegistrada[Fecha],MATCH(tblMSCalculada[[#This Row],[Identificador de observación]],tblMSRegistrada[Identificador de observación],0))</f>
        <v/>
      </c>
      <c r="C19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9" s="6">
        <f>INDEX(tblMSRegistrada[Sector hídrico],MATCH(tblMSCalculada[[#This Row],[Identificador de observación]],tblMSRegistrada[Identificador de observación],0))</f>
        <v/>
      </c>
      <c r="E19" s="6">
        <f>INDEX(tblMSRegistrada[Tratamiento],MATCH(tblMSCalculada[[#This Row],[Identificador de observación]],tblMSRegistrada[Identificador de observación],0))</f>
        <v/>
      </c>
      <c r="F19" s="6">
        <f>INDEX(tblMSRegistrada[Bloque],MATCH(tblMSCalculada[[#This Row],[Identificador de observación]],tblMSRegistrada[Identificador de observación],0))</f>
        <v/>
      </c>
      <c r="G19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9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9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9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9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9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9" s="14">
        <f>100*tblMSCalculada[[#This Row],[Peso seco (g)]]/tblMSCalculada[[#This Row],[Peso verde de la muestra (g)]]</f>
        <v/>
      </c>
      <c r="N19" s="14">
        <f>ABS(tblMSCalculada[[#This Row],[Materia seca registrada (%)]]-tblMSCalculada[[#This Row],[Materia seca reconstruida (%)]])</f>
        <v/>
      </c>
      <c r="O19" s="14">
        <f>tblMSCalculada[[#This Row],[Diferencia absoluta de materia seca (puntos porcentuales)]]/ABS(tblMSCalculada[[#This Row],[Materia seca registrada (%)]])</f>
        <v/>
      </c>
      <c r="P19" s="6">
        <f>AND(tblMSCalculada[[#This Row],[Diferencia absoluta de materia seca (puntos porcentuales)]]&gt;=5,tblMSCalculada[[#This Row],[Diferencia relativa de materia seca (proporción)]]&gt;=0.20)</f>
        <v/>
      </c>
      <c r="Q19" s="14" t="n">
        <v>7200</v>
      </c>
      <c r="R19" s="14">
        <f>tblMSCalculada[[#This Row],[Peso verde en un metro (g)]]*(tblMSCalculada[[#This Row],[Materia seca registrada (%)]]/100)*10/INDEX(tblMetadatos[Valor],MATCH("biomass_sample_area_m2",tblMetadatos[Parámetro],0))</f>
        <v/>
      </c>
      <c r="S19" s="14">
        <f>tblMSCalculada[[#This Row],[Peso verde en un metro (g)]]*(tblMSCalculada[[#This Row],[Materia seca reconstruida (%)]]/100)*10/INDEX(tblMetadatos[Valor],MATCH("biomass_sample_area_m2",tblMetadatos[Parámetro],0))</f>
        <v/>
      </c>
      <c r="T19" s="14">
        <f>tblMSCalculada[[#This Row],[Biomasa recalculada con materia seca registrada (kg MS/ha)]]-tblMSCalculada[[#This Row],[Biomasa informada en el libro histórico (kg MS/ha)]]</f>
        <v/>
      </c>
      <c r="U19" s="14">
        <f>tblMSCalculada[[#This Row],[Macollos en 30 cm (macollos/30 cm)]]*(100/30)*(100/INDEX(tblMetadatos[Valor],MATCH("row_spacing_cm",tblMetadatos[Parámetro],0)))</f>
        <v/>
      </c>
    </row>
    <row r="20">
      <c r="A20" s="6" t="inlineStr">
        <is>
          <t>dm_20250916_secano_m5_r1</t>
        </is>
      </c>
      <c r="B20" s="13">
        <f>INDEX(tblMSRegistrada[Fecha],MATCH(tblMSCalculada[[#This Row],[Identificador de observación]],tblMSRegistrada[Identificador de observación],0))</f>
        <v/>
      </c>
      <c r="C20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20" s="6">
        <f>INDEX(tblMSRegistrada[Sector hídrico],MATCH(tblMSCalculada[[#This Row],[Identificador de observación]],tblMSRegistrada[Identificador de observación],0))</f>
        <v/>
      </c>
      <c r="E20" s="6">
        <f>INDEX(tblMSRegistrada[Tratamiento],MATCH(tblMSCalculada[[#This Row],[Identificador de observación]],tblMSRegistrada[Identificador de observación],0))</f>
        <v/>
      </c>
      <c r="F20" s="6">
        <f>INDEX(tblMSRegistrada[Bloque],MATCH(tblMSCalculada[[#This Row],[Identificador de observación]],tblMSRegistrada[Identificador de observación],0))</f>
        <v/>
      </c>
      <c r="G20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20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20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20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20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20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20" s="14">
        <f>100*tblMSCalculada[[#This Row],[Peso seco (g)]]/tblMSCalculada[[#This Row],[Peso verde de la muestra (g)]]</f>
        <v/>
      </c>
      <c r="N20" s="14">
        <f>ABS(tblMSCalculada[[#This Row],[Materia seca registrada (%)]]-tblMSCalculada[[#This Row],[Materia seca reconstruida (%)]])</f>
        <v/>
      </c>
      <c r="O20" s="14">
        <f>tblMSCalculada[[#This Row],[Diferencia absoluta de materia seca (puntos porcentuales)]]/ABS(tblMSCalculada[[#This Row],[Materia seca registrada (%)]])</f>
        <v/>
      </c>
      <c r="P20" s="6">
        <f>AND(tblMSCalculada[[#This Row],[Diferencia absoluta de materia seca (puntos porcentuales)]]&gt;=5,tblMSCalculada[[#This Row],[Diferencia relativa de materia seca (proporción)]]&gt;=0.20)</f>
        <v/>
      </c>
      <c r="Q20" s="14" t="n">
        <v>3445</v>
      </c>
      <c r="R20" s="14">
        <f>tblMSCalculada[[#This Row],[Peso verde en un metro (g)]]*(tblMSCalculada[[#This Row],[Materia seca registrada (%)]]/100)*10/INDEX(tblMetadatos[Valor],MATCH("biomass_sample_area_m2",tblMetadatos[Parámetro],0))</f>
        <v/>
      </c>
      <c r="S20" s="14">
        <f>tblMSCalculada[[#This Row],[Peso verde en un metro (g)]]*(tblMSCalculada[[#This Row],[Materia seca reconstruida (%)]]/100)*10/INDEX(tblMetadatos[Valor],MATCH("biomass_sample_area_m2",tblMetadatos[Parámetro],0))</f>
        <v/>
      </c>
      <c r="T20" s="14">
        <f>tblMSCalculada[[#This Row],[Biomasa recalculada con materia seca registrada (kg MS/ha)]]-tblMSCalculada[[#This Row],[Biomasa informada en el libro histórico (kg MS/ha)]]</f>
        <v/>
      </c>
      <c r="U20" s="14">
        <f>tblMSCalculada[[#This Row],[Macollos en 30 cm (macollos/30 cm)]]*(100/30)*(100/INDEX(tblMetadatos[Valor],MATCH("row_spacing_cm",tblMetadatos[Parámetro],0)))</f>
        <v/>
      </c>
    </row>
    <row r="21">
      <c r="A21" s="6" t="inlineStr">
        <is>
          <t>dm_20250916_secano_m3_r2</t>
        </is>
      </c>
      <c r="B21" s="13">
        <f>INDEX(tblMSRegistrada[Fecha],MATCH(tblMSCalculada[[#This Row],[Identificador de observación]],tblMSRegistrada[Identificador de observación],0))</f>
        <v/>
      </c>
      <c r="C21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21" s="6">
        <f>INDEX(tblMSRegistrada[Sector hídrico],MATCH(tblMSCalculada[[#This Row],[Identificador de observación]],tblMSRegistrada[Identificador de observación],0))</f>
        <v/>
      </c>
      <c r="E21" s="6">
        <f>INDEX(tblMSRegistrada[Tratamiento],MATCH(tblMSCalculada[[#This Row],[Identificador de observación]],tblMSRegistrada[Identificador de observación],0))</f>
        <v/>
      </c>
      <c r="F21" s="6">
        <f>INDEX(tblMSRegistrada[Bloque],MATCH(tblMSCalculada[[#This Row],[Identificador de observación]],tblMSRegistrada[Identificador de observación],0))</f>
        <v/>
      </c>
      <c r="G21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21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21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21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21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21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21" s="14">
        <f>100*tblMSCalculada[[#This Row],[Peso seco (g)]]/tblMSCalculada[[#This Row],[Peso verde de la muestra (g)]]</f>
        <v/>
      </c>
      <c r="N21" s="14">
        <f>ABS(tblMSCalculada[[#This Row],[Materia seca registrada (%)]]-tblMSCalculada[[#This Row],[Materia seca reconstruida (%)]])</f>
        <v/>
      </c>
      <c r="O21" s="14">
        <f>tblMSCalculada[[#This Row],[Diferencia absoluta de materia seca (puntos porcentuales)]]/ABS(tblMSCalculada[[#This Row],[Materia seca registrada (%)]])</f>
        <v/>
      </c>
      <c r="P21" s="6">
        <f>AND(tblMSCalculada[[#This Row],[Diferencia absoluta de materia seca (puntos porcentuales)]]&gt;=5,tblMSCalculada[[#This Row],[Diferencia relativa de materia seca (proporción)]]&gt;=0.20)</f>
        <v/>
      </c>
      <c r="Q21" s="14" t="n">
        <v>7136</v>
      </c>
      <c r="R21" s="14">
        <f>tblMSCalculada[[#This Row],[Peso verde en un metro (g)]]*(tblMSCalculada[[#This Row],[Materia seca registrada (%)]]/100)*10/INDEX(tblMetadatos[Valor],MATCH("biomass_sample_area_m2",tblMetadatos[Parámetro],0))</f>
        <v/>
      </c>
      <c r="S21" s="14">
        <f>tblMSCalculada[[#This Row],[Peso verde en un metro (g)]]*(tblMSCalculada[[#This Row],[Materia seca reconstruida (%)]]/100)*10/INDEX(tblMetadatos[Valor],MATCH("biomass_sample_area_m2",tblMetadatos[Parámetro],0))</f>
        <v/>
      </c>
      <c r="T21" s="14">
        <f>tblMSCalculada[[#This Row],[Biomasa recalculada con materia seca registrada (kg MS/ha)]]-tblMSCalculada[[#This Row],[Biomasa informada en el libro histórico (kg MS/ha)]]</f>
        <v/>
      </c>
      <c r="U21" s="14">
        <f>tblMSCalculada[[#This Row],[Macollos en 30 cm (macollos/30 cm)]]*(100/30)*(100/INDEX(tblMetadatos[Valor],MATCH("row_spacing_cm",tblMetadatos[Parámetro],0)))</f>
        <v/>
      </c>
    </row>
    <row r="22">
      <c r="A22" s="6" t="inlineStr">
        <is>
          <t>dm_20250916_secano_m2_r2</t>
        </is>
      </c>
      <c r="B22" s="13">
        <f>INDEX(tblMSRegistrada[Fecha],MATCH(tblMSCalculada[[#This Row],[Identificador de observación]],tblMSRegistrada[Identificador de observación],0))</f>
        <v/>
      </c>
      <c r="C22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22" s="6">
        <f>INDEX(tblMSRegistrada[Sector hídrico],MATCH(tblMSCalculada[[#This Row],[Identificador de observación]],tblMSRegistrada[Identificador de observación],0))</f>
        <v/>
      </c>
      <c r="E22" s="6">
        <f>INDEX(tblMSRegistrada[Tratamiento],MATCH(tblMSCalculada[[#This Row],[Identificador de observación]],tblMSRegistrada[Identificador de observación],0))</f>
        <v/>
      </c>
      <c r="F22" s="6">
        <f>INDEX(tblMSRegistrada[Bloque],MATCH(tblMSCalculada[[#This Row],[Identificador de observación]],tblMSRegistrada[Identificador de observación],0))</f>
        <v/>
      </c>
      <c r="G22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22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22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22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22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22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22" s="14">
        <f>100*tblMSCalculada[[#This Row],[Peso seco (g)]]/tblMSCalculada[[#This Row],[Peso verde de la muestra (g)]]</f>
        <v/>
      </c>
      <c r="N22" s="14">
        <f>ABS(tblMSCalculada[[#This Row],[Materia seca registrada (%)]]-tblMSCalculada[[#This Row],[Materia seca reconstruida (%)]])</f>
        <v/>
      </c>
      <c r="O22" s="14">
        <f>tblMSCalculada[[#This Row],[Diferencia absoluta de materia seca (puntos porcentuales)]]/ABS(tblMSCalculada[[#This Row],[Materia seca registrada (%)]])</f>
        <v/>
      </c>
      <c r="P22" s="6">
        <f>AND(tblMSCalculada[[#This Row],[Diferencia absoluta de materia seca (puntos porcentuales)]]&gt;=5,tblMSCalculada[[#This Row],[Diferencia relativa de materia seca (proporción)]]&gt;=0.20)</f>
        <v/>
      </c>
      <c r="Q22" s="14" t="n">
        <v>11512</v>
      </c>
      <c r="R22" s="14">
        <f>tblMSCalculada[[#This Row],[Peso verde en un metro (g)]]*(tblMSCalculada[[#This Row],[Materia seca registrada (%)]]/100)*10/INDEX(tblMetadatos[Valor],MATCH("biomass_sample_area_m2",tblMetadatos[Parámetro],0))</f>
        <v/>
      </c>
      <c r="S22" s="14">
        <f>tblMSCalculada[[#This Row],[Peso verde en un metro (g)]]*(tblMSCalculada[[#This Row],[Materia seca reconstruida (%)]]/100)*10/INDEX(tblMetadatos[Valor],MATCH("biomass_sample_area_m2",tblMetadatos[Parámetro],0))</f>
        <v/>
      </c>
      <c r="T22" s="14">
        <f>tblMSCalculada[[#This Row],[Biomasa recalculada con materia seca registrada (kg MS/ha)]]-tblMSCalculada[[#This Row],[Biomasa informada en el libro histórico (kg MS/ha)]]</f>
        <v/>
      </c>
      <c r="U22" s="14">
        <f>tblMSCalculada[[#This Row],[Macollos en 30 cm (macollos/30 cm)]]*(100/30)*(100/INDEX(tblMetadatos[Valor],MATCH("row_spacing_cm",tblMetadatos[Parámetro],0)))</f>
        <v/>
      </c>
    </row>
    <row r="23">
      <c r="A23" s="6" t="inlineStr">
        <is>
          <t>dm_20250916_secano_m4_r2</t>
        </is>
      </c>
      <c r="B23" s="13">
        <f>INDEX(tblMSRegistrada[Fecha],MATCH(tblMSCalculada[[#This Row],[Identificador de observación]],tblMSRegistrada[Identificador de observación],0))</f>
        <v/>
      </c>
      <c r="C23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23" s="6">
        <f>INDEX(tblMSRegistrada[Sector hídrico],MATCH(tblMSCalculada[[#This Row],[Identificador de observación]],tblMSRegistrada[Identificador de observación],0))</f>
        <v/>
      </c>
      <c r="E23" s="6">
        <f>INDEX(tblMSRegistrada[Tratamiento],MATCH(tblMSCalculada[[#This Row],[Identificador de observación]],tblMSRegistrada[Identificador de observación],0))</f>
        <v/>
      </c>
      <c r="F23" s="6">
        <f>INDEX(tblMSRegistrada[Bloque],MATCH(tblMSCalculada[[#This Row],[Identificador de observación]],tblMSRegistrada[Identificador de observación],0))</f>
        <v/>
      </c>
      <c r="G23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23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23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23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23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23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23" s="14">
        <f>100*tblMSCalculada[[#This Row],[Peso seco (g)]]/tblMSCalculada[[#This Row],[Peso verde de la muestra (g)]]</f>
        <v/>
      </c>
      <c r="N23" s="14">
        <f>ABS(tblMSCalculada[[#This Row],[Materia seca registrada (%)]]-tblMSCalculada[[#This Row],[Materia seca reconstruida (%)]])</f>
        <v/>
      </c>
      <c r="O23" s="14">
        <f>tblMSCalculada[[#This Row],[Diferencia absoluta de materia seca (puntos porcentuales)]]/ABS(tblMSCalculada[[#This Row],[Materia seca registrada (%)]])</f>
        <v/>
      </c>
      <c r="P23" s="6">
        <f>AND(tblMSCalculada[[#This Row],[Diferencia absoluta de materia seca (puntos porcentuales)]]&gt;=5,tblMSCalculada[[#This Row],[Diferencia relativa de materia seca (proporción)]]&gt;=0.20)</f>
        <v/>
      </c>
      <c r="Q23" s="14" t="n">
        <v>5900</v>
      </c>
      <c r="R23" s="14">
        <f>tblMSCalculada[[#This Row],[Peso verde en un metro (g)]]*(tblMSCalculada[[#This Row],[Materia seca registrada (%)]]/100)*10/INDEX(tblMetadatos[Valor],MATCH("biomass_sample_area_m2",tblMetadatos[Parámetro],0))</f>
        <v/>
      </c>
      <c r="S23" s="14">
        <f>tblMSCalculada[[#This Row],[Peso verde en un metro (g)]]*(tblMSCalculada[[#This Row],[Materia seca reconstruida (%)]]/100)*10/INDEX(tblMetadatos[Valor],MATCH("biomass_sample_area_m2",tblMetadatos[Parámetro],0))</f>
        <v/>
      </c>
      <c r="T23" s="14">
        <f>tblMSCalculada[[#This Row],[Biomasa recalculada con materia seca registrada (kg MS/ha)]]-tblMSCalculada[[#This Row],[Biomasa informada en el libro histórico (kg MS/ha)]]</f>
        <v/>
      </c>
      <c r="U23" s="14">
        <f>tblMSCalculada[[#This Row],[Macollos en 30 cm (macollos/30 cm)]]*(100/30)*(100/INDEX(tblMetadatos[Valor],MATCH("row_spacing_cm",tblMetadatos[Parámetro],0)))</f>
        <v/>
      </c>
    </row>
    <row r="24">
      <c r="A24" s="6" t="inlineStr">
        <is>
          <t>dm_20250916_secano_m0_r2</t>
        </is>
      </c>
      <c r="B24" s="13">
        <f>INDEX(tblMSRegistrada[Fecha],MATCH(tblMSCalculada[[#This Row],[Identificador de observación]],tblMSRegistrada[Identificador de observación],0))</f>
        <v/>
      </c>
      <c r="C24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24" s="6">
        <f>INDEX(tblMSRegistrada[Sector hídrico],MATCH(tblMSCalculada[[#This Row],[Identificador de observación]],tblMSRegistrada[Identificador de observación],0))</f>
        <v/>
      </c>
      <c r="E24" s="6">
        <f>INDEX(tblMSRegistrada[Tratamiento],MATCH(tblMSCalculada[[#This Row],[Identificador de observación]],tblMSRegistrada[Identificador de observación],0))</f>
        <v/>
      </c>
      <c r="F24" s="6">
        <f>INDEX(tblMSRegistrada[Bloque],MATCH(tblMSCalculada[[#This Row],[Identificador de observación]],tblMSRegistrada[Identificador de observación],0))</f>
        <v/>
      </c>
      <c r="G24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24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24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24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24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24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24" s="14">
        <f>100*tblMSCalculada[[#This Row],[Peso seco (g)]]/tblMSCalculada[[#This Row],[Peso verde de la muestra (g)]]</f>
        <v/>
      </c>
      <c r="N24" s="14">
        <f>ABS(tblMSCalculada[[#This Row],[Materia seca registrada (%)]]-tblMSCalculada[[#This Row],[Materia seca reconstruida (%)]])</f>
        <v/>
      </c>
      <c r="O24" s="14">
        <f>tblMSCalculada[[#This Row],[Diferencia absoluta de materia seca (puntos porcentuales)]]/ABS(tblMSCalculada[[#This Row],[Materia seca registrada (%)]])</f>
        <v/>
      </c>
      <c r="P24" s="6">
        <f>AND(tblMSCalculada[[#This Row],[Diferencia absoluta de materia seca (puntos porcentuales)]]&gt;=5,tblMSCalculada[[#This Row],[Diferencia relativa de materia seca (proporción)]]&gt;=0.20)</f>
        <v/>
      </c>
      <c r="Q24" s="14" t="n">
        <v>3607</v>
      </c>
      <c r="R24" s="14">
        <f>tblMSCalculada[[#This Row],[Peso verde en un metro (g)]]*(tblMSCalculada[[#This Row],[Materia seca registrada (%)]]/100)*10/INDEX(tblMetadatos[Valor],MATCH("biomass_sample_area_m2",tblMetadatos[Parámetro],0))</f>
        <v/>
      </c>
      <c r="S24" s="14">
        <f>tblMSCalculada[[#This Row],[Peso verde en un metro (g)]]*(tblMSCalculada[[#This Row],[Materia seca reconstruida (%)]]/100)*10/INDEX(tblMetadatos[Valor],MATCH("biomass_sample_area_m2",tblMetadatos[Parámetro],0))</f>
        <v/>
      </c>
      <c r="T24" s="14">
        <f>tblMSCalculada[[#This Row],[Biomasa recalculada con materia seca registrada (kg MS/ha)]]-tblMSCalculada[[#This Row],[Biomasa informada en el libro histórico (kg MS/ha)]]</f>
        <v/>
      </c>
      <c r="U24" s="14">
        <f>tblMSCalculada[[#This Row],[Macollos en 30 cm (macollos/30 cm)]]*(100/30)*(100/INDEX(tblMetadatos[Valor],MATCH("row_spacing_cm",tblMetadatos[Parámetro],0)))</f>
        <v/>
      </c>
    </row>
    <row r="25">
      <c r="A25" s="6" t="inlineStr">
        <is>
          <t>dm_20250916_secano_m1_r2</t>
        </is>
      </c>
      <c r="B25" s="13">
        <f>INDEX(tblMSRegistrada[Fecha],MATCH(tblMSCalculada[[#This Row],[Identificador de observación]],tblMSRegistrada[Identificador de observación],0))</f>
        <v/>
      </c>
      <c r="C25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25" s="6">
        <f>INDEX(tblMSRegistrada[Sector hídrico],MATCH(tblMSCalculada[[#This Row],[Identificador de observación]],tblMSRegistrada[Identificador de observación],0))</f>
        <v/>
      </c>
      <c r="E25" s="6">
        <f>INDEX(tblMSRegistrada[Tratamiento],MATCH(tblMSCalculada[[#This Row],[Identificador de observación]],tblMSRegistrada[Identificador de observación],0))</f>
        <v/>
      </c>
      <c r="F25" s="6">
        <f>INDEX(tblMSRegistrada[Bloque],MATCH(tblMSCalculada[[#This Row],[Identificador de observación]],tblMSRegistrada[Identificador de observación],0))</f>
        <v/>
      </c>
      <c r="G25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25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25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25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25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25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25" s="14">
        <f>100*tblMSCalculada[[#This Row],[Peso seco (g)]]/tblMSCalculada[[#This Row],[Peso verde de la muestra (g)]]</f>
        <v/>
      </c>
      <c r="N25" s="14">
        <f>ABS(tblMSCalculada[[#This Row],[Materia seca registrada (%)]]-tblMSCalculada[[#This Row],[Materia seca reconstruida (%)]])</f>
        <v/>
      </c>
      <c r="O25" s="14">
        <f>tblMSCalculada[[#This Row],[Diferencia absoluta de materia seca (puntos porcentuales)]]/ABS(tblMSCalculada[[#This Row],[Materia seca registrada (%)]])</f>
        <v/>
      </c>
      <c r="P25" s="6">
        <f>AND(tblMSCalculada[[#This Row],[Diferencia absoluta de materia seca (puntos porcentuales)]]&gt;=5,tblMSCalculada[[#This Row],[Diferencia relativa de materia seca (proporción)]]&gt;=0.20)</f>
        <v/>
      </c>
      <c r="Q25" s="14" t="n">
        <v>9619</v>
      </c>
      <c r="R25" s="14">
        <f>tblMSCalculada[[#This Row],[Peso verde en un metro (g)]]*(tblMSCalculada[[#This Row],[Materia seca registrada (%)]]/100)*10/INDEX(tblMetadatos[Valor],MATCH("biomass_sample_area_m2",tblMetadatos[Parámetro],0))</f>
        <v/>
      </c>
      <c r="S25" s="14">
        <f>tblMSCalculada[[#This Row],[Peso verde en un metro (g)]]*(tblMSCalculada[[#This Row],[Materia seca reconstruida (%)]]/100)*10/INDEX(tblMetadatos[Valor],MATCH("biomass_sample_area_m2",tblMetadatos[Parámetro],0))</f>
        <v/>
      </c>
      <c r="T25" s="14">
        <f>tblMSCalculada[[#This Row],[Biomasa recalculada con materia seca registrada (kg MS/ha)]]-tblMSCalculada[[#This Row],[Biomasa informada en el libro histórico (kg MS/ha)]]</f>
        <v/>
      </c>
      <c r="U25" s="14">
        <f>tblMSCalculada[[#This Row],[Macollos en 30 cm (macollos/30 cm)]]*(100/30)*(100/INDEX(tblMetadatos[Valor],MATCH("row_spacing_cm",tblMetadatos[Parámetro],0)))</f>
        <v/>
      </c>
    </row>
    <row r="26">
      <c r="A26" s="6" t="inlineStr">
        <is>
          <t>dm_20250916_secano_m5_r2</t>
        </is>
      </c>
      <c r="B26" s="13">
        <f>INDEX(tblMSRegistrada[Fecha],MATCH(tblMSCalculada[[#This Row],[Identificador de observación]],tblMSRegistrada[Identificador de observación],0))</f>
        <v/>
      </c>
      <c r="C26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26" s="6">
        <f>INDEX(tblMSRegistrada[Sector hídrico],MATCH(tblMSCalculada[[#This Row],[Identificador de observación]],tblMSRegistrada[Identificador de observación],0))</f>
        <v/>
      </c>
      <c r="E26" s="6">
        <f>INDEX(tblMSRegistrada[Tratamiento],MATCH(tblMSCalculada[[#This Row],[Identificador de observación]],tblMSRegistrada[Identificador de observación],0))</f>
        <v/>
      </c>
      <c r="F26" s="6">
        <f>INDEX(tblMSRegistrada[Bloque],MATCH(tblMSCalculada[[#This Row],[Identificador de observación]],tblMSRegistrada[Identificador de observación],0))</f>
        <v/>
      </c>
      <c r="G26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26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26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26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26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26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26" s="14">
        <f>100*tblMSCalculada[[#This Row],[Peso seco (g)]]/tblMSCalculada[[#This Row],[Peso verde de la muestra (g)]]</f>
        <v/>
      </c>
      <c r="N26" s="14">
        <f>ABS(tblMSCalculada[[#This Row],[Materia seca registrada (%)]]-tblMSCalculada[[#This Row],[Materia seca reconstruida (%)]])</f>
        <v/>
      </c>
      <c r="O26" s="14">
        <f>tblMSCalculada[[#This Row],[Diferencia absoluta de materia seca (puntos porcentuales)]]/ABS(tblMSCalculada[[#This Row],[Materia seca registrada (%)]])</f>
        <v/>
      </c>
      <c r="P26" s="6">
        <f>AND(tblMSCalculada[[#This Row],[Diferencia absoluta de materia seca (puntos porcentuales)]]&gt;=5,tblMSCalculada[[#This Row],[Diferencia relativa de materia seca (proporción)]]&gt;=0.20)</f>
        <v/>
      </c>
      <c r="Q26" s="14" t="n">
        <v>4311</v>
      </c>
      <c r="R26" s="14">
        <f>tblMSCalculada[[#This Row],[Peso verde en un metro (g)]]*(tblMSCalculada[[#This Row],[Materia seca registrada (%)]]/100)*10/INDEX(tblMetadatos[Valor],MATCH("biomass_sample_area_m2",tblMetadatos[Parámetro],0))</f>
        <v/>
      </c>
      <c r="S26" s="14">
        <f>tblMSCalculada[[#This Row],[Peso verde en un metro (g)]]*(tblMSCalculada[[#This Row],[Materia seca reconstruida (%)]]/100)*10/INDEX(tblMetadatos[Valor],MATCH("biomass_sample_area_m2",tblMetadatos[Parámetro],0))</f>
        <v/>
      </c>
      <c r="T26" s="14">
        <f>tblMSCalculada[[#This Row],[Biomasa recalculada con materia seca registrada (kg MS/ha)]]-tblMSCalculada[[#This Row],[Biomasa informada en el libro histórico (kg MS/ha)]]</f>
        <v/>
      </c>
      <c r="U26" s="14">
        <f>tblMSCalculada[[#This Row],[Macollos en 30 cm (macollos/30 cm)]]*(100/30)*(100/INDEX(tblMetadatos[Valor],MATCH("row_spacing_cm",tblMetadatos[Parámetro],0)))</f>
        <v/>
      </c>
    </row>
    <row r="27">
      <c r="A27" s="6" t="inlineStr">
        <is>
          <t>dm_20250916_secano_m3_r3</t>
        </is>
      </c>
      <c r="B27" s="13">
        <f>INDEX(tblMSRegistrada[Fecha],MATCH(tblMSCalculada[[#This Row],[Identificador de observación]],tblMSRegistrada[Identificador de observación],0))</f>
        <v/>
      </c>
      <c r="C27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27" s="6">
        <f>INDEX(tblMSRegistrada[Sector hídrico],MATCH(tblMSCalculada[[#This Row],[Identificador de observación]],tblMSRegistrada[Identificador de observación],0))</f>
        <v/>
      </c>
      <c r="E27" s="6">
        <f>INDEX(tblMSRegistrada[Tratamiento],MATCH(tblMSCalculada[[#This Row],[Identificador de observación]],tblMSRegistrada[Identificador de observación],0))</f>
        <v/>
      </c>
      <c r="F27" s="6">
        <f>INDEX(tblMSRegistrada[Bloque],MATCH(tblMSCalculada[[#This Row],[Identificador de observación]],tblMSRegistrada[Identificador de observación],0))</f>
        <v/>
      </c>
      <c r="G27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27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27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27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27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27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27" s="14">
        <f>100*tblMSCalculada[[#This Row],[Peso seco (g)]]/tblMSCalculada[[#This Row],[Peso verde de la muestra (g)]]</f>
        <v/>
      </c>
      <c r="N27" s="14">
        <f>ABS(tblMSCalculada[[#This Row],[Materia seca registrada (%)]]-tblMSCalculada[[#This Row],[Materia seca reconstruida (%)]])</f>
        <v/>
      </c>
      <c r="O27" s="14">
        <f>tblMSCalculada[[#This Row],[Diferencia absoluta de materia seca (puntos porcentuales)]]/ABS(tblMSCalculada[[#This Row],[Materia seca registrada (%)]])</f>
        <v/>
      </c>
      <c r="P27" s="6">
        <f>AND(tblMSCalculada[[#This Row],[Diferencia absoluta de materia seca (puntos porcentuales)]]&gt;=5,tblMSCalculada[[#This Row],[Diferencia relativa de materia seca (proporción)]]&gt;=0.20)</f>
        <v/>
      </c>
      <c r="Q27" s="14" t="n">
        <v>6343</v>
      </c>
      <c r="R27" s="14">
        <f>tblMSCalculada[[#This Row],[Peso verde en un metro (g)]]*(tblMSCalculada[[#This Row],[Materia seca registrada (%)]]/100)*10/INDEX(tblMetadatos[Valor],MATCH("biomass_sample_area_m2",tblMetadatos[Parámetro],0))</f>
        <v/>
      </c>
      <c r="S27" s="14">
        <f>tblMSCalculada[[#This Row],[Peso verde en un metro (g)]]*(tblMSCalculada[[#This Row],[Materia seca reconstruida (%)]]/100)*10/INDEX(tblMetadatos[Valor],MATCH("biomass_sample_area_m2",tblMetadatos[Parámetro],0))</f>
        <v/>
      </c>
      <c r="T27" s="14">
        <f>tblMSCalculada[[#This Row],[Biomasa recalculada con materia seca registrada (kg MS/ha)]]-tblMSCalculada[[#This Row],[Biomasa informada en el libro histórico (kg MS/ha)]]</f>
        <v/>
      </c>
      <c r="U27" s="14">
        <f>tblMSCalculada[[#This Row],[Macollos en 30 cm (macollos/30 cm)]]*(100/30)*(100/INDEX(tblMetadatos[Valor],MATCH("row_spacing_cm",tblMetadatos[Parámetro],0)))</f>
        <v/>
      </c>
    </row>
    <row r="28">
      <c r="A28" s="6" t="inlineStr">
        <is>
          <t>dm_20250916_secano_m4_r3</t>
        </is>
      </c>
      <c r="B28" s="13">
        <f>INDEX(tblMSRegistrada[Fecha],MATCH(tblMSCalculada[[#This Row],[Identificador de observación]],tblMSRegistrada[Identificador de observación],0))</f>
        <v/>
      </c>
      <c r="C28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28" s="6">
        <f>INDEX(tblMSRegistrada[Sector hídrico],MATCH(tblMSCalculada[[#This Row],[Identificador de observación]],tblMSRegistrada[Identificador de observación],0))</f>
        <v/>
      </c>
      <c r="E28" s="6">
        <f>INDEX(tblMSRegistrada[Tratamiento],MATCH(tblMSCalculada[[#This Row],[Identificador de observación]],tblMSRegistrada[Identificador de observación],0))</f>
        <v/>
      </c>
      <c r="F28" s="6">
        <f>INDEX(tblMSRegistrada[Bloque],MATCH(tblMSCalculada[[#This Row],[Identificador de observación]],tblMSRegistrada[Identificador de observación],0))</f>
        <v/>
      </c>
      <c r="G28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28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28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28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28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28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28" s="14">
        <f>100*tblMSCalculada[[#This Row],[Peso seco (g)]]/tblMSCalculada[[#This Row],[Peso verde de la muestra (g)]]</f>
        <v/>
      </c>
      <c r="N28" s="14">
        <f>ABS(tblMSCalculada[[#This Row],[Materia seca registrada (%)]]-tblMSCalculada[[#This Row],[Materia seca reconstruida (%)]])</f>
        <v/>
      </c>
      <c r="O28" s="14">
        <f>tblMSCalculada[[#This Row],[Diferencia absoluta de materia seca (puntos porcentuales)]]/ABS(tblMSCalculada[[#This Row],[Materia seca registrada (%)]])</f>
        <v/>
      </c>
      <c r="P28" s="6">
        <f>AND(tblMSCalculada[[#This Row],[Diferencia absoluta de materia seca (puntos porcentuales)]]&gt;=5,tblMSCalculada[[#This Row],[Diferencia relativa de materia seca (proporción)]]&gt;=0.20)</f>
        <v/>
      </c>
      <c r="Q28" s="14" t="n">
        <v>5041</v>
      </c>
      <c r="R28" s="14">
        <f>tblMSCalculada[[#This Row],[Peso verde en un metro (g)]]*(tblMSCalculada[[#This Row],[Materia seca registrada (%)]]/100)*10/INDEX(tblMetadatos[Valor],MATCH("biomass_sample_area_m2",tblMetadatos[Parámetro],0))</f>
        <v/>
      </c>
      <c r="S28" s="14">
        <f>tblMSCalculada[[#This Row],[Peso verde en un metro (g)]]*(tblMSCalculada[[#This Row],[Materia seca reconstruida (%)]]/100)*10/INDEX(tblMetadatos[Valor],MATCH("biomass_sample_area_m2",tblMetadatos[Parámetro],0))</f>
        <v/>
      </c>
      <c r="T28" s="14">
        <f>tblMSCalculada[[#This Row],[Biomasa recalculada con materia seca registrada (kg MS/ha)]]-tblMSCalculada[[#This Row],[Biomasa informada en el libro histórico (kg MS/ha)]]</f>
        <v/>
      </c>
      <c r="U28" s="14">
        <f>tblMSCalculada[[#This Row],[Macollos en 30 cm (macollos/30 cm)]]*(100/30)*(100/INDEX(tblMetadatos[Valor],MATCH("row_spacing_cm",tblMetadatos[Parámetro],0)))</f>
        <v/>
      </c>
    </row>
    <row r="29">
      <c r="A29" s="6" t="inlineStr">
        <is>
          <t>dm_20250916_secano_m0_r3</t>
        </is>
      </c>
      <c r="B29" s="13">
        <f>INDEX(tblMSRegistrada[Fecha],MATCH(tblMSCalculada[[#This Row],[Identificador de observación]],tblMSRegistrada[Identificador de observación],0))</f>
        <v/>
      </c>
      <c r="C29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29" s="6">
        <f>INDEX(tblMSRegistrada[Sector hídrico],MATCH(tblMSCalculada[[#This Row],[Identificador de observación]],tblMSRegistrada[Identificador de observación],0))</f>
        <v/>
      </c>
      <c r="E29" s="6">
        <f>INDEX(tblMSRegistrada[Tratamiento],MATCH(tblMSCalculada[[#This Row],[Identificador de observación]],tblMSRegistrada[Identificador de observación],0))</f>
        <v/>
      </c>
      <c r="F29" s="6">
        <f>INDEX(tblMSRegistrada[Bloque],MATCH(tblMSCalculada[[#This Row],[Identificador de observación]],tblMSRegistrada[Identificador de observación],0))</f>
        <v/>
      </c>
      <c r="G29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29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29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29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29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29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29" s="14">
        <f>100*tblMSCalculada[[#This Row],[Peso seco (g)]]/tblMSCalculada[[#This Row],[Peso verde de la muestra (g)]]</f>
        <v/>
      </c>
      <c r="N29" s="14">
        <f>ABS(tblMSCalculada[[#This Row],[Materia seca registrada (%)]]-tblMSCalculada[[#This Row],[Materia seca reconstruida (%)]])</f>
        <v/>
      </c>
      <c r="O29" s="14">
        <f>tblMSCalculada[[#This Row],[Diferencia absoluta de materia seca (puntos porcentuales)]]/ABS(tblMSCalculada[[#This Row],[Materia seca registrada (%)]])</f>
        <v/>
      </c>
      <c r="P29" s="6">
        <f>AND(tblMSCalculada[[#This Row],[Diferencia absoluta de materia seca (puntos porcentuales)]]&gt;=5,tblMSCalculada[[#This Row],[Diferencia relativa de materia seca (proporción)]]&gt;=0.20)</f>
        <v/>
      </c>
      <c r="Q29" s="14" t="n">
        <v>4422</v>
      </c>
      <c r="R29" s="14">
        <f>tblMSCalculada[[#This Row],[Peso verde en un metro (g)]]*(tblMSCalculada[[#This Row],[Materia seca registrada (%)]]/100)*10/INDEX(tblMetadatos[Valor],MATCH("biomass_sample_area_m2",tblMetadatos[Parámetro],0))</f>
        <v/>
      </c>
      <c r="S29" s="14">
        <f>tblMSCalculada[[#This Row],[Peso verde en un metro (g)]]*(tblMSCalculada[[#This Row],[Materia seca reconstruida (%)]]/100)*10/INDEX(tblMetadatos[Valor],MATCH("biomass_sample_area_m2",tblMetadatos[Parámetro],0))</f>
        <v/>
      </c>
      <c r="T29" s="14">
        <f>tblMSCalculada[[#This Row],[Biomasa recalculada con materia seca registrada (kg MS/ha)]]-tblMSCalculada[[#This Row],[Biomasa informada en el libro histórico (kg MS/ha)]]</f>
        <v/>
      </c>
      <c r="U29" s="14">
        <f>tblMSCalculada[[#This Row],[Macollos en 30 cm (macollos/30 cm)]]*(100/30)*(100/INDEX(tblMetadatos[Valor],MATCH("row_spacing_cm",tblMetadatos[Parámetro],0)))</f>
        <v/>
      </c>
    </row>
    <row r="30">
      <c r="A30" s="6" t="inlineStr">
        <is>
          <t>dm_20250916_secano_m1_r3</t>
        </is>
      </c>
      <c r="B30" s="13">
        <f>INDEX(tblMSRegistrada[Fecha],MATCH(tblMSCalculada[[#This Row],[Identificador de observación]],tblMSRegistrada[Identificador de observación],0))</f>
        <v/>
      </c>
      <c r="C30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30" s="6">
        <f>INDEX(tblMSRegistrada[Sector hídrico],MATCH(tblMSCalculada[[#This Row],[Identificador de observación]],tblMSRegistrada[Identificador de observación],0))</f>
        <v/>
      </c>
      <c r="E30" s="6">
        <f>INDEX(tblMSRegistrada[Tratamiento],MATCH(tblMSCalculada[[#This Row],[Identificador de observación]],tblMSRegistrada[Identificador de observación],0))</f>
        <v/>
      </c>
      <c r="F30" s="6">
        <f>INDEX(tblMSRegistrada[Bloque],MATCH(tblMSCalculada[[#This Row],[Identificador de observación]],tblMSRegistrada[Identificador de observación],0))</f>
        <v/>
      </c>
      <c r="G30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30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30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30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30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30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30" s="14">
        <f>100*tblMSCalculada[[#This Row],[Peso seco (g)]]/tblMSCalculada[[#This Row],[Peso verde de la muestra (g)]]</f>
        <v/>
      </c>
      <c r="N30" s="14">
        <f>ABS(tblMSCalculada[[#This Row],[Materia seca registrada (%)]]-tblMSCalculada[[#This Row],[Materia seca reconstruida (%)]])</f>
        <v/>
      </c>
      <c r="O30" s="14">
        <f>tblMSCalculada[[#This Row],[Diferencia absoluta de materia seca (puntos porcentuales)]]/ABS(tblMSCalculada[[#This Row],[Materia seca registrada (%)]])</f>
        <v/>
      </c>
      <c r="P30" s="6">
        <f>AND(tblMSCalculada[[#This Row],[Diferencia absoluta de materia seca (puntos porcentuales)]]&gt;=5,tblMSCalculada[[#This Row],[Diferencia relativa de materia seca (proporción)]]&gt;=0.20)</f>
        <v/>
      </c>
      <c r="Q30" s="14" t="n">
        <v>8871</v>
      </c>
      <c r="R30" s="14">
        <f>tblMSCalculada[[#This Row],[Peso verde en un metro (g)]]*(tblMSCalculada[[#This Row],[Materia seca registrada (%)]]/100)*10/INDEX(tblMetadatos[Valor],MATCH("biomass_sample_area_m2",tblMetadatos[Parámetro],0))</f>
        <v/>
      </c>
      <c r="S30" s="14">
        <f>tblMSCalculada[[#This Row],[Peso verde en un metro (g)]]*(tblMSCalculada[[#This Row],[Materia seca reconstruida (%)]]/100)*10/INDEX(tblMetadatos[Valor],MATCH("biomass_sample_area_m2",tblMetadatos[Parámetro],0))</f>
        <v/>
      </c>
      <c r="T30" s="14">
        <f>tblMSCalculada[[#This Row],[Biomasa recalculada con materia seca registrada (kg MS/ha)]]-tblMSCalculada[[#This Row],[Biomasa informada en el libro histórico (kg MS/ha)]]</f>
        <v/>
      </c>
      <c r="U30" s="14">
        <f>tblMSCalculada[[#This Row],[Macollos en 30 cm (macollos/30 cm)]]*(100/30)*(100/INDEX(tblMetadatos[Valor],MATCH("row_spacing_cm",tblMetadatos[Parámetro],0)))</f>
        <v/>
      </c>
    </row>
    <row r="31">
      <c r="A31" s="6" t="inlineStr">
        <is>
          <t>dm_20250916_secano_m5_r3</t>
        </is>
      </c>
      <c r="B31" s="13">
        <f>INDEX(tblMSRegistrada[Fecha],MATCH(tblMSCalculada[[#This Row],[Identificador de observación]],tblMSRegistrada[Identificador de observación],0))</f>
        <v/>
      </c>
      <c r="C31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31" s="6">
        <f>INDEX(tblMSRegistrada[Sector hídrico],MATCH(tblMSCalculada[[#This Row],[Identificador de observación]],tblMSRegistrada[Identificador de observación],0))</f>
        <v/>
      </c>
      <c r="E31" s="6">
        <f>INDEX(tblMSRegistrada[Tratamiento],MATCH(tblMSCalculada[[#This Row],[Identificador de observación]],tblMSRegistrada[Identificador de observación],0))</f>
        <v/>
      </c>
      <c r="F31" s="6">
        <f>INDEX(tblMSRegistrada[Bloque],MATCH(tblMSCalculada[[#This Row],[Identificador de observación]],tblMSRegistrada[Identificador de observación],0))</f>
        <v/>
      </c>
      <c r="G31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31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31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31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31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31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31" s="14">
        <f>100*tblMSCalculada[[#This Row],[Peso seco (g)]]/tblMSCalculada[[#This Row],[Peso verde de la muestra (g)]]</f>
        <v/>
      </c>
      <c r="N31" s="14">
        <f>ABS(tblMSCalculada[[#This Row],[Materia seca registrada (%)]]-tblMSCalculada[[#This Row],[Materia seca reconstruida (%)]])</f>
        <v/>
      </c>
      <c r="O31" s="14">
        <f>tblMSCalculada[[#This Row],[Diferencia absoluta de materia seca (puntos porcentuales)]]/ABS(tblMSCalculada[[#This Row],[Materia seca registrada (%)]])</f>
        <v/>
      </c>
      <c r="P31" s="6">
        <f>AND(tblMSCalculada[[#This Row],[Diferencia absoluta de materia seca (puntos porcentuales)]]&gt;=5,tblMSCalculada[[#This Row],[Diferencia relativa de materia seca (proporción)]]&gt;=0.20)</f>
        <v/>
      </c>
      <c r="Q31" s="14" t="n">
        <v>4171</v>
      </c>
      <c r="R31" s="14">
        <f>tblMSCalculada[[#This Row],[Peso verde en un metro (g)]]*(tblMSCalculada[[#This Row],[Materia seca registrada (%)]]/100)*10/INDEX(tblMetadatos[Valor],MATCH("biomass_sample_area_m2",tblMetadatos[Parámetro],0))</f>
        <v/>
      </c>
      <c r="S31" s="14">
        <f>tblMSCalculada[[#This Row],[Peso verde en un metro (g)]]*(tblMSCalculada[[#This Row],[Materia seca reconstruida (%)]]/100)*10/INDEX(tblMetadatos[Valor],MATCH("biomass_sample_area_m2",tblMetadatos[Parámetro],0))</f>
        <v/>
      </c>
      <c r="T31" s="14">
        <f>tblMSCalculada[[#This Row],[Biomasa recalculada con materia seca registrada (kg MS/ha)]]-tblMSCalculada[[#This Row],[Biomasa informada en el libro histórico (kg MS/ha)]]</f>
        <v/>
      </c>
      <c r="U31" s="14">
        <f>tblMSCalculada[[#This Row],[Macollos en 30 cm (macollos/30 cm)]]*(100/30)*(100/INDEX(tblMetadatos[Valor],MATCH("row_spacing_cm",tblMetadatos[Parámetro],0)))</f>
        <v/>
      </c>
    </row>
    <row r="32">
      <c r="A32" s="6" t="inlineStr">
        <is>
          <t>dm_20250916_secano_m2_r3</t>
        </is>
      </c>
      <c r="B32" s="13">
        <f>INDEX(tblMSRegistrada[Fecha],MATCH(tblMSCalculada[[#This Row],[Identificador de observación]],tblMSRegistrada[Identificador de observación],0))</f>
        <v/>
      </c>
      <c r="C32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32" s="6">
        <f>INDEX(tblMSRegistrada[Sector hídrico],MATCH(tblMSCalculada[[#This Row],[Identificador de observación]],tblMSRegistrada[Identificador de observación],0))</f>
        <v/>
      </c>
      <c r="E32" s="6">
        <f>INDEX(tblMSRegistrada[Tratamiento],MATCH(tblMSCalculada[[#This Row],[Identificador de observación]],tblMSRegistrada[Identificador de observación],0))</f>
        <v/>
      </c>
      <c r="F32" s="6">
        <f>INDEX(tblMSRegistrada[Bloque],MATCH(tblMSCalculada[[#This Row],[Identificador de observación]],tblMSRegistrada[Identificador de observación],0))</f>
        <v/>
      </c>
      <c r="G32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32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32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32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32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32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32" s="14">
        <f>100*tblMSCalculada[[#This Row],[Peso seco (g)]]/tblMSCalculada[[#This Row],[Peso verde de la muestra (g)]]</f>
        <v/>
      </c>
      <c r="N32" s="14">
        <f>ABS(tblMSCalculada[[#This Row],[Materia seca registrada (%)]]-tblMSCalculada[[#This Row],[Materia seca reconstruida (%)]])</f>
        <v/>
      </c>
      <c r="O32" s="14">
        <f>tblMSCalculada[[#This Row],[Diferencia absoluta de materia seca (puntos porcentuales)]]/ABS(tblMSCalculada[[#This Row],[Materia seca registrada (%)]])</f>
        <v/>
      </c>
      <c r="P32" s="6">
        <f>AND(tblMSCalculada[[#This Row],[Diferencia absoluta de materia seca (puntos porcentuales)]]&gt;=5,tblMSCalculada[[#This Row],[Diferencia relativa de materia seca (proporción)]]&gt;=0.20)</f>
        <v/>
      </c>
      <c r="Q32" s="14" t="n">
        <v>15308</v>
      </c>
      <c r="R32" s="14">
        <f>tblMSCalculada[[#This Row],[Peso verde en un metro (g)]]*(tblMSCalculada[[#This Row],[Materia seca registrada (%)]]/100)*10/INDEX(tblMetadatos[Valor],MATCH("biomass_sample_area_m2",tblMetadatos[Parámetro],0))</f>
        <v/>
      </c>
      <c r="S32" s="14">
        <f>tblMSCalculada[[#This Row],[Peso verde en un metro (g)]]*(tblMSCalculada[[#This Row],[Materia seca reconstruida (%)]]/100)*10/INDEX(tblMetadatos[Valor],MATCH("biomass_sample_area_m2",tblMetadatos[Parámetro],0))</f>
        <v/>
      </c>
      <c r="T32" s="14">
        <f>tblMSCalculada[[#This Row],[Biomasa recalculada con materia seca registrada (kg MS/ha)]]-tblMSCalculada[[#This Row],[Biomasa informada en el libro histórico (kg MS/ha)]]</f>
        <v/>
      </c>
      <c r="U32" s="14">
        <f>tblMSCalculada[[#This Row],[Macollos en 30 cm (macollos/30 cm)]]*(100/30)*(100/INDEX(tblMetadatos[Valor],MATCH("row_spacing_cm",tblMetadatos[Parámetro],0)))</f>
        <v/>
      </c>
    </row>
    <row r="33">
      <c r="A33" s="6" t="inlineStr">
        <is>
          <t>dm_20250916_secano_m1_r4</t>
        </is>
      </c>
      <c r="B33" s="13">
        <f>INDEX(tblMSRegistrada[Fecha],MATCH(tblMSCalculada[[#This Row],[Identificador de observación]],tblMSRegistrada[Identificador de observación],0))</f>
        <v/>
      </c>
      <c r="C33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33" s="6">
        <f>INDEX(tblMSRegistrada[Sector hídrico],MATCH(tblMSCalculada[[#This Row],[Identificador de observación]],tblMSRegistrada[Identificador de observación],0))</f>
        <v/>
      </c>
      <c r="E33" s="6">
        <f>INDEX(tblMSRegistrada[Tratamiento],MATCH(tblMSCalculada[[#This Row],[Identificador de observación]],tblMSRegistrada[Identificador de observación],0))</f>
        <v/>
      </c>
      <c r="F33" s="6">
        <f>INDEX(tblMSRegistrada[Bloque],MATCH(tblMSCalculada[[#This Row],[Identificador de observación]],tblMSRegistrada[Identificador de observación],0))</f>
        <v/>
      </c>
      <c r="G33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33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33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33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33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33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33" s="14">
        <f>100*tblMSCalculada[[#This Row],[Peso seco (g)]]/tblMSCalculada[[#This Row],[Peso verde de la muestra (g)]]</f>
        <v/>
      </c>
      <c r="N33" s="14">
        <f>ABS(tblMSCalculada[[#This Row],[Materia seca registrada (%)]]-tblMSCalculada[[#This Row],[Materia seca reconstruida (%)]])</f>
        <v/>
      </c>
      <c r="O33" s="14">
        <f>tblMSCalculada[[#This Row],[Diferencia absoluta de materia seca (puntos porcentuales)]]/ABS(tblMSCalculada[[#This Row],[Materia seca registrada (%)]])</f>
        <v/>
      </c>
      <c r="P33" s="6">
        <f>AND(tblMSCalculada[[#This Row],[Diferencia absoluta de materia seca (puntos porcentuales)]]&gt;=5,tblMSCalculada[[#This Row],[Diferencia relativa de materia seca (proporción)]]&gt;=0.20)</f>
        <v/>
      </c>
      <c r="Q33" s="14" t="n">
        <v>7037</v>
      </c>
      <c r="R33" s="14">
        <f>tblMSCalculada[[#This Row],[Peso verde en un metro (g)]]*(tblMSCalculada[[#This Row],[Materia seca registrada (%)]]/100)*10/INDEX(tblMetadatos[Valor],MATCH("biomass_sample_area_m2",tblMetadatos[Parámetro],0))</f>
        <v/>
      </c>
      <c r="S33" s="14">
        <f>tblMSCalculada[[#This Row],[Peso verde en un metro (g)]]*(tblMSCalculada[[#This Row],[Materia seca reconstruida (%)]]/100)*10/INDEX(tblMetadatos[Valor],MATCH("biomass_sample_area_m2",tblMetadatos[Parámetro],0))</f>
        <v/>
      </c>
      <c r="T33" s="14">
        <f>tblMSCalculada[[#This Row],[Biomasa recalculada con materia seca registrada (kg MS/ha)]]-tblMSCalculada[[#This Row],[Biomasa informada en el libro histórico (kg MS/ha)]]</f>
        <v/>
      </c>
      <c r="U33" s="14">
        <f>tblMSCalculada[[#This Row],[Macollos en 30 cm (macollos/30 cm)]]*(100/30)*(100/INDEX(tblMetadatos[Valor],MATCH("row_spacing_cm",tblMetadatos[Parámetro],0)))</f>
        <v/>
      </c>
    </row>
    <row r="34">
      <c r="A34" s="6" t="inlineStr">
        <is>
          <t>dm_20250916_secano_m0_r4</t>
        </is>
      </c>
      <c r="B34" s="13">
        <f>INDEX(tblMSRegistrada[Fecha],MATCH(tblMSCalculada[[#This Row],[Identificador de observación]],tblMSRegistrada[Identificador de observación],0))</f>
        <v/>
      </c>
      <c r="C34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34" s="6">
        <f>INDEX(tblMSRegistrada[Sector hídrico],MATCH(tblMSCalculada[[#This Row],[Identificador de observación]],tblMSRegistrada[Identificador de observación],0))</f>
        <v/>
      </c>
      <c r="E34" s="6">
        <f>INDEX(tblMSRegistrada[Tratamiento],MATCH(tblMSCalculada[[#This Row],[Identificador de observación]],tblMSRegistrada[Identificador de observación],0))</f>
        <v/>
      </c>
      <c r="F34" s="6">
        <f>INDEX(tblMSRegistrada[Bloque],MATCH(tblMSCalculada[[#This Row],[Identificador de observación]],tblMSRegistrada[Identificador de observación],0))</f>
        <v/>
      </c>
      <c r="G34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34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34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34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34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34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34" s="14">
        <f>100*tblMSCalculada[[#This Row],[Peso seco (g)]]/tblMSCalculada[[#This Row],[Peso verde de la muestra (g)]]</f>
        <v/>
      </c>
      <c r="N34" s="14">
        <f>ABS(tblMSCalculada[[#This Row],[Materia seca registrada (%)]]-tblMSCalculada[[#This Row],[Materia seca reconstruida (%)]])</f>
        <v/>
      </c>
      <c r="O34" s="14">
        <f>tblMSCalculada[[#This Row],[Diferencia absoluta de materia seca (puntos porcentuales)]]/ABS(tblMSCalculada[[#This Row],[Materia seca registrada (%)]])</f>
        <v/>
      </c>
      <c r="P34" s="6">
        <f>AND(tblMSCalculada[[#This Row],[Diferencia absoluta de materia seca (puntos porcentuales)]]&gt;=5,tblMSCalculada[[#This Row],[Diferencia relativa de materia seca (proporción)]]&gt;=0.20)</f>
        <v/>
      </c>
      <c r="Q34" s="14" t="n">
        <v>4798</v>
      </c>
      <c r="R34" s="14">
        <f>tblMSCalculada[[#This Row],[Peso verde en un metro (g)]]*(tblMSCalculada[[#This Row],[Materia seca registrada (%)]]/100)*10/INDEX(tblMetadatos[Valor],MATCH("biomass_sample_area_m2",tblMetadatos[Parámetro],0))</f>
        <v/>
      </c>
      <c r="S34" s="14">
        <f>tblMSCalculada[[#This Row],[Peso verde en un metro (g)]]*(tblMSCalculada[[#This Row],[Materia seca reconstruida (%)]]/100)*10/INDEX(tblMetadatos[Valor],MATCH("biomass_sample_area_m2",tblMetadatos[Parámetro],0))</f>
        <v/>
      </c>
      <c r="T34" s="14">
        <f>tblMSCalculada[[#This Row],[Biomasa recalculada con materia seca registrada (kg MS/ha)]]-tblMSCalculada[[#This Row],[Biomasa informada en el libro histórico (kg MS/ha)]]</f>
        <v/>
      </c>
      <c r="U34" s="14">
        <f>tblMSCalculada[[#This Row],[Macollos en 30 cm (macollos/30 cm)]]*(100/30)*(100/INDEX(tblMetadatos[Valor],MATCH("row_spacing_cm",tblMetadatos[Parámetro],0)))</f>
        <v/>
      </c>
    </row>
    <row r="35">
      <c r="A35" s="6" t="inlineStr">
        <is>
          <t>dm_20250916_secano_m5_r4</t>
        </is>
      </c>
      <c r="B35" s="13">
        <f>INDEX(tblMSRegistrada[Fecha],MATCH(tblMSCalculada[[#This Row],[Identificador de observación]],tblMSRegistrada[Identificador de observación],0))</f>
        <v/>
      </c>
      <c r="C35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35" s="6">
        <f>INDEX(tblMSRegistrada[Sector hídrico],MATCH(tblMSCalculada[[#This Row],[Identificador de observación]],tblMSRegistrada[Identificador de observación],0))</f>
        <v/>
      </c>
      <c r="E35" s="6">
        <f>INDEX(tblMSRegistrada[Tratamiento],MATCH(tblMSCalculada[[#This Row],[Identificador de observación]],tblMSRegistrada[Identificador de observación],0))</f>
        <v/>
      </c>
      <c r="F35" s="6">
        <f>INDEX(tblMSRegistrada[Bloque],MATCH(tblMSCalculada[[#This Row],[Identificador de observación]],tblMSRegistrada[Identificador de observación],0))</f>
        <v/>
      </c>
      <c r="G35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35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35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35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35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35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35" s="14">
        <f>100*tblMSCalculada[[#This Row],[Peso seco (g)]]/tblMSCalculada[[#This Row],[Peso verde de la muestra (g)]]</f>
        <v/>
      </c>
      <c r="N35" s="14">
        <f>ABS(tblMSCalculada[[#This Row],[Materia seca registrada (%)]]-tblMSCalculada[[#This Row],[Materia seca reconstruida (%)]])</f>
        <v/>
      </c>
      <c r="O35" s="14">
        <f>tblMSCalculada[[#This Row],[Diferencia absoluta de materia seca (puntos porcentuales)]]/ABS(tblMSCalculada[[#This Row],[Materia seca registrada (%)]])</f>
        <v/>
      </c>
      <c r="P35" s="6">
        <f>AND(tblMSCalculada[[#This Row],[Diferencia absoluta de materia seca (puntos porcentuales)]]&gt;=5,tblMSCalculada[[#This Row],[Diferencia relativa de materia seca (proporción)]]&gt;=0.20)</f>
        <v/>
      </c>
      <c r="Q35" s="14" t="n">
        <v>3343</v>
      </c>
      <c r="R35" s="14">
        <f>tblMSCalculada[[#This Row],[Peso verde en un metro (g)]]*(tblMSCalculada[[#This Row],[Materia seca registrada (%)]]/100)*10/INDEX(tblMetadatos[Valor],MATCH("biomass_sample_area_m2",tblMetadatos[Parámetro],0))</f>
        <v/>
      </c>
      <c r="S35" s="14">
        <f>tblMSCalculada[[#This Row],[Peso verde en un metro (g)]]*(tblMSCalculada[[#This Row],[Materia seca reconstruida (%)]]/100)*10/INDEX(tblMetadatos[Valor],MATCH("biomass_sample_area_m2",tblMetadatos[Parámetro],0))</f>
        <v/>
      </c>
      <c r="T35" s="14">
        <f>tblMSCalculada[[#This Row],[Biomasa recalculada con materia seca registrada (kg MS/ha)]]-tblMSCalculada[[#This Row],[Biomasa informada en el libro histórico (kg MS/ha)]]</f>
        <v/>
      </c>
      <c r="U35" s="14">
        <f>tblMSCalculada[[#This Row],[Macollos en 30 cm (macollos/30 cm)]]*(100/30)*(100/INDEX(tblMetadatos[Valor],MATCH("row_spacing_cm",tblMetadatos[Parámetro],0)))</f>
        <v/>
      </c>
    </row>
    <row r="36">
      <c r="A36" s="6" t="inlineStr">
        <is>
          <t>dm_20250916_secano_m4_r4</t>
        </is>
      </c>
      <c r="B36" s="13">
        <f>INDEX(tblMSRegistrada[Fecha],MATCH(tblMSCalculada[[#This Row],[Identificador de observación]],tblMSRegistrada[Identificador de observación],0))</f>
        <v/>
      </c>
      <c r="C36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36" s="6">
        <f>INDEX(tblMSRegistrada[Sector hídrico],MATCH(tblMSCalculada[[#This Row],[Identificador de observación]],tblMSRegistrada[Identificador de observación],0))</f>
        <v/>
      </c>
      <c r="E36" s="6">
        <f>INDEX(tblMSRegistrada[Tratamiento],MATCH(tblMSCalculada[[#This Row],[Identificador de observación]],tblMSRegistrada[Identificador de observación],0))</f>
        <v/>
      </c>
      <c r="F36" s="6">
        <f>INDEX(tblMSRegistrada[Bloque],MATCH(tblMSCalculada[[#This Row],[Identificador de observación]],tblMSRegistrada[Identificador de observación],0))</f>
        <v/>
      </c>
      <c r="G36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36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36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36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36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36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36" s="14">
        <f>100*tblMSCalculada[[#This Row],[Peso seco (g)]]/tblMSCalculada[[#This Row],[Peso verde de la muestra (g)]]</f>
        <v/>
      </c>
      <c r="N36" s="14">
        <f>ABS(tblMSCalculada[[#This Row],[Materia seca registrada (%)]]-tblMSCalculada[[#This Row],[Materia seca reconstruida (%)]])</f>
        <v/>
      </c>
      <c r="O36" s="14">
        <f>tblMSCalculada[[#This Row],[Diferencia absoluta de materia seca (puntos porcentuales)]]/ABS(tblMSCalculada[[#This Row],[Materia seca registrada (%)]])</f>
        <v/>
      </c>
      <c r="P36" s="6">
        <f>AND(tblMSCalculada[[#This Row],[Diferencia absoluta de materia seca (puntos porcentuales)]]&gt;=5,tblMSCalculada[[#This Row],[Diferencia relativa de materia seca (proporción)]]&gt;=0.20)</f>
        <v/>
      </c>
      <c r="Q36" s="14" t="n">
        <v>5066</v>
      </c>
      <c r="R36" s="14">
        <f>tblMSCalculada[[#This Row],[Peso verde en un metro (g)]]*(tblMSCalculada[[#This Row],[Materia seca registrada (%)]]/100)*10/INDEX(tblMetadatos[Valor],MATCH("biomass_sample_area_m2",tblMetadatos[Parámetro],0))</f>
        <v/>
      </c>
      <c r="S36" s="14">
        <f>tblMSCalculada[[#This Row],[Peso verde en un metro (g)]]*(tblMSCalculada[[#This Row],[Materia seca reconstruida (%)]]/100)*10/INDEX(tblMetadatos[Valor],MATCH("biomass_sample_area_m2",tblMetadatos[Parámetro],0))</f>
        <v/>
      </c>
      <c r="T36" s="14">
        <f>tblMSCalculada[[#This Row],[Biomasa recalculada con materia seca registrada (kg MS/ha)]]-tblMSCalculada[[#This Row],[Biomasa informada en el libro histórico (kg MS/ha)]]</f>
        <v/>
      </c>
      <c r="U36" s="14">
        <f>tblMSCalculada[[#This Row],[Macollos en 30 cm (macollos/30 cm)]]*(100/30)*(100/INDEX(tblMetadatos[Valor],MATCH("row_spacing_cm",tblMetadatos[Parámetro],0)))</f>
        <v/>
      </c>
    </row>
    <row r="37">
      <c r="A37" s="6" t="inlineStr">
        <is>
          <t>dm_20250916_secano_m3_r4</t>
        </is>
      </c>
      <c r="B37" s="13">
        <f>INDEX(tblMSRegistrada[Fecha],MATCH(tblMSCalculada[[#This Row],[Identificador de observación]],tblMSRegistrada[Identificador de observación],0))</f>
        <v/>
      </c>
      <c r="C37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37" s="6">
        <f>INDEX(tblMSRegistrada[Sector hídrico],MATCH(tblMSCalculada[[#This Row],[Identificador de observación]],tblMSRegistrada[Identificador de observación],0))</f>
        <v/>
      </c>
      <c r="E37" s="6">
        <f>INDEX(tblMSRegistrada[Tratamiento],MATCH(tblMSCalculada[[#This Row],[Identificador de observación]],tblMSRegistrada[Identificador de observación],0))</f>
        <v/>
      </c>
      <c r="F37" s="6">
        <f>INDEX(tblMSRegistrada[Bloque],MATCH(tblMSCalculada[[#This Row],[Identificador de observación]],tblMSRegistrada[Identificador de observación],0))</f>
        <v/>
      </c>
      <c r="G37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37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37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37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37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37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37" s="14">
        <f>100*tblMSCalculada[[#This Row],[Peso seco (g)]]/tblMSCalculada[[#This Row],[Peso verde de la muestra (g)]]</f>
        <v/>
      </c>
      <c r="N37" s="14">
        <f>ABS(tblMSCalculada[[#This Row],[Materia seca registrada (%)]]-tblMSCalculada[[#This Row],[Materia seca reconstruida (%)]])</f>
        <v/>
      </c>
      <c r="O37" s="14">
        <f>tblMSCalculada[[#This Row],[Diferencia absoluta de materia seca (puntos porcentuales)]]/ABS(tblMSCalculada[[#This Row],[Materia seca registrada (%)]])</f>
        <v/>
      </c>
      <c r="P37" s="6">
        <f>AND(tblMSCalculada[[#This Row],[Diferencia absoluta de materia seca (puntos porcentuales)]]&gt;=5,tblMSCalculada[[#This Row],[Diferencia relativa de materia seca (proporción)]]&gt;=0.20)</f>
        <v/>
      </c>
      <c r="Q37" s="14" t="n">
        <v>7124</v>
      </c>
      <c r="R37" s="14">
        <f>tblMSCalculada[[#This Row],[Peso verde en un metro (g)]]*(tblMSCalculada[[#This Row],[Materia seca registrada (%)]]/100)*10/INDEX(tblMetadatos[Valor],MATCH("biomass_sample_area_m2",tblMetadatos[Parámetro],0))</f>
        <v/>
      </c>
      <c r="S37" s="14">
        <f>tblMSCalculada[[#This Row],[Peso verde en un metro (g)]]*(tblMSCalculada[[#This Row],[Materia seca reconstruida (%)]]/100)*10/INDEX(tblMetadatos[Valor],MATCH("biomass_sample_area_m2",tblMetadatos[Parámetro],0))</f>
        <v/>
      </c>
      <c r="T37" s="14">
        <f>tblMSCalculada[[#This Row],[Biomasa recalculada con materia seca registrada (kg MS/ha)]]-tblMSCalculada[[#This Row],[Biomasa informada en el libro histórico (kg MS/ha)]]</f>
        <v/>
      </c>
      <c r="U37" s="14">
        <f>tblMSCalculada[[#This Row],[Macollos en 30 cm (macollos/30 cm)]]*(100/30)*(100/INDEX(tblMetadatos[Valor],MATCH("row_spacing_cm",tblMetadatos[Parámetro],0)))</f>
        <v/>
      </c>
    </row>
    <row r="38">
      <c r="A38" s="6" t="inlineStr">
        <is>
          <t>dm_20250916_secano_m2_r4</t>
        </is>
      </c>
      <c r="B38" s="13">
        <f>INDEX(tblMSRegistrada[Fecha],MATCH(tblMSCalculada[[#This Row],[Identificador de observación]],tblMSRegistrada[Identificador de observación],0))</f>
        <v/>
      </c>
      <c r="C38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38" s="6">
        <f>INDEX(tblMSRegistrada[Sector hídrico],MATCH(tblMSCalculada[[#This Row],[Identificador de observación]],tblMSRegistrada[Identificador de observación],0))</f>
        <v/>
      </c>
      <c r="E38" s="6">
        <f>INDEX(tblMSRegistrada[Tratamiento],MATCH(tblMSCalculada[[#This Row],[Identificador de observación]],tblMSRegistrada[Identificador de observación],0))</f>
        <v/>
      </c>
      <c r="F38" s="6">
        <f>INDEX(tblMSRegistrada[Bloque],MATCH(tblMSCalculada[[#This Row],[Identificador de observación]],tblMSRegistrada[Identificador de observación],0))</f>
        <v/>
      </c>
      <c r="G38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38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38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38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38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38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38" s="14">
        <f>100*tblMSCalculada[[#This Row],[Peso seco (g)]]/tblMSCalculada[[#This Row],[Peso verde de la muestra (g)]]</f>
        <v/>
      </c>
      <c r="N38" s="14">
        <f>ABS(tblMSCalculada[[#This Row],[Materia seca registrada (%)]]-tblMSCalculada[[#This Row],[Materia seca reconstruida (%)]])</f>
        <v/>
      </c>
      <c r="O38" s="14">
        <f>tblMSCalculada[[#This Row],[Diferencia absoluta de materia seca (puntos porcentuales)]]/ABS(tblMSCalculada[[#This Row],[Materia seca registrada (%)]])</f>
        <v/>
      </c>
      <c r="P38" s="6">
        <f>AND(tblMSCalculada[[#This Row],[Diferencia absoluta de materia seca (puntos porcentuales)]]&gt;=5,tblMSCalculada[[#This Row],[Diferencia relativa de materia seca (proporción)]]&gt;=0.20)</f>
        <v/>
      </c>
      <c r="Q38" s="14" t="n">
        <v>7344</v>
      </c>
      <c r="R38" s="14">
        <f>tblMSCalculada[[#This Row],[Peso verde en un metro (g)]]*(tblMSCalculada[[#This Row],[Materia seca registrada (%)]]/100)*10/INDEX(tblMetadatos[Valor],MATCH("biomass_sample_area_m2",tblMetadatos[Parámetro],0))</f>
        <v/>
      </c>
      <c r="S38" s="14">
        <f>tblMSCalculada[[#This Row],[Peso verde en un metro (g)]]*(tblMSCalculada[[#This Row],[Materia seca reconstruida (%)]]/100)*10/INDEX(tblMetadatos[Valor],MATCH("biomass_sample_area_m2",tblMetadatos[Parámetro],0))</f>
        <v/>
      </c>
      <c r="T38" s="14">
        <f>tblMSCalculada[[#This Row],[Biomasa recalculada con materia seca registrada (kg MS/ha)]]-tblMSCalculada[[#This Row],[Biomasa informada en el libro histórico (kg MS/ha)]]</f>
        <v/>
      </c>
      <c r="U38" s="14">
        <f>tblMSCalculada[[#This Row],[Macollos en 30 cm (macollos/30 cm)]]*(100/30)*(100/INDEX(tblMetadatos[Valor],MATCH("row_spacing_cm",tblMetadatos[Parámetro],0)))</f>
        <v/>
      </c>
    </row>
    <row r="39">
      <c r="A39" s="6" t="inlineStr">
        <is>
          <t>dm_20250916_riego_m0_r1</t>
        </is>
      </c>
      <c r="B39" s="13">
        <f>INDEX(tblMSRegistrada[Fecha],MATCH(tblMSCalculada[[#This Row],[Identificador de observación]],tblMSRegistrada[Identificador de observación],0))</f>
        <v/>
      </c>
      <c r="C39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39" s="6">
        <f>INDEX(tblMSRegistrada[Sector hídrico],MATCH(tblMSCalculada[[#This Row],[Identificador de observación]],tblMSRegistrada[Identificador de observación],0))</f>
        <v/>
      </c>
      <c r="E39" s="6">
        <f>INDEX(tblMSRegistrada[Tratamiento],MATCH(tblMSCalculada[[#This Row],[Identificador de observación]],tblMSRegistrada[Identificador de observación],0))</f>
        <v/>
      </c>
      <c r="F39" s="6">
        <f>INDEX(tblMSRegistrada[Bloque],MATCH(tblMSCalculada[[#This Row],[Identificador de observación]],tblMSRegistrada[Identificador de observación],0))</f>
        <v/>
      </c>
      <c r="G39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39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39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39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39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39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39" s="14">
        <f>100*tblMSCalculada[[#This Row],[Peso seco (g)]]/tblMSCalculada[[#This Row],[Peso verde de la muestra (g)]]</f>
        <v/>
      </c>
      <c r="N39" s="14">
        <f>ABS(tblMSCalculada[[#This Row],[Materia seca registrada (%)]]-tblMSCalculada[[#This Row],[Materia seca reconstruida (%)]])</f>
        <v/>
      </c>
      <c r="O39" s="14">
        <f>tblMSCalculada[[#This Row],[Diferencia absoluta de materia seca (puntos porcentuales)]]/ABS(tblMSCalculada[[#This Row],[Materia seca registrada (%)]])</f>
        <v/>
      </c>
      <c r="P39" s="6">
        <f>AND(tblMSCalculada[[#This Row],[Diferencia absoluta de materia seca (puntos porcentuales)]]&gt;=5,tblMSCalculada[[#This Row],[Diferencia relativa de materia seca (proporción)]]&gt;=0.20)</f>
        <v/>
      </c>
      <c r="Q39" s="14" t="n">
        <v>5179</v>
      </c>
      <c r="R39" s="14">
        <f>tblMSCalculada[[#This Row],[Peso verde en un metro (g)]]*(tblMSCalculada[[#This Row],[Materia seca registrada (%)]]/100)*10/INDEX(tblMetadatos[Valor],MATCH("biomass_sample_area_m2",tblMetadatos[Parámetro],0))</f>
        <v/>
      </c>
      <c r="S39" s="14">
        <f>tblMSCalculada[[#This Row],[Peso verde en un metro (g)]]*(tblMSCalculada[[#This Row],[Materia seca reconstruida (%)]]/100)*10/INDEX(tblMetadatos[Valor],MATCH("biomass_sample_area_m2",tblMetadatos[Parámetro],0))</f>
        <v/>
      </c>
      <c r="T39" s="14">
        <f>tblMSCalculada[[#This Row],[Biomasa recalculada con materia seca registrada (kg MS/ha)]]-tblMSCalculada[[#This Row],[Biomasa informada en el libro histórico (kg MS/ha)]]</f>
        <v/>
      </c>
      <c r="U39" s="14">
        <f>tblMSCalculada[[#This Row],[Macollos en 30 cm (macollos/30 cm)]]*(100/30)*(100/INDEX(tblMetadatos[Valor],MATCH("row_spacing_cm",tblMetadatos[Parámetro],0)))</f>
        <v/>
      </c>
    </row>
    <row r="40">
      <c r="A40" s="6" t="inlineStr">
        <is>
          <t>dm_20250916_riego_m1_r1</t>
        </is>
      </c>
      <c r="B40" s="13">
        <f>INDEX(tblMSRegistrada[Fecha],MATCH(tblMSCalculada[[#This Row],[Identificador de observación]],tblMSRegistrada[Identificador de observación],0))</f>
        <v/>
      </c>
      <c r="C40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40" s="6">
        <f>INDEX(tblMSRegistrada[Sector hídrico],MATCH(tblMSCalculada[[#This Row],[Identificador de observación]],tblMSRegistrada[Identificador de observación],0))</f>
        <v/>
      </c>
      <c r="E40" s="6">
        <f>INDEX(tblMSRegistrada[Tratamiento],MATCH(tblMSCalculada[[#This Row],[Identificador de observación]],tblMSRegistrada[Identificador de observación],0))</f>
        <v/>
      </c>
      <c r="F40" s="6">
        <f>INDEX(tblMSRegistrada[Bloque],MATCH(tblMSCalculada[[#This Row],[Identificador de observación]],tblMSRegistrada[Identificador de observación],0))</f>
        <v/>
      </c>
      <c r="G40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40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40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40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40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40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40" s="14">
        <f>100*tblMSCalculada[[#This Row],[Peso seco (g)]]/tblMSCalculada[[#This Row],[Peso verde de la muestra (g)]]</f>
        <v/>
      </c>
      <c r="N40" s="14">
        <f>ABS(tblMSCalculada[[#This Row],[Materia seca registrada (%)]]-tblMSCalculada[[#This Row],[Materia seca reconstruida (%)]])</f>
        <v/>
      </c>
      <c r="O40" s="14">
        <f>tblMSCalculada[[#This Row],[Diferencia absoluta de materia seca (puntos porcentuales)]]/ABS(tblMSCalculada[[#This Row],[Materia seca registrada (%)]])</f>
        <v/>
      </c>
      <c r="P40" s="6">
        <f>AND(tblMSCalculada[[#This Row],[Diferencia absoluta de materia seca (puntos porcentuales)]]&gt;=5,tblMSCalculada[[#This Row],[Diferencia relativa de materia seca (proporción)]]&gt;=0.20)</f>
        <v/>
      </c>
      <c r="Q40" s="14" t="n">
        <v>8234</v>
      </c>
      <c r="R40" s="14">
        <f>tblMSCalculada[[#This Row],[Peso verde en un metro (g)]]*(tblMSCalculada[[#This Row],[Materia seca registrada (%)]]/100)*10/INDEX(tblMetadatos[Valor],MATCH("biomass_sample_area_m2",tblMetadatos[Parámetro],0))</f>
        <v/>
      </c>
      <c r="S40" s="14">
        <f>tblMSCalculada[[#This Row],[Peso verde en un metro (g)]]*(tblMSCalculada[[#This Row],[Materia seca reconstruida (%)]]/100)*10/INDEX(tblMetadatos[Valor],MATCH("biomass_sample_area_m2",tblMetadatos[Parámetro],0))</f>
        <v/>
      </c>
      <c r="T40" s="14">
        <f>tblMSCalculada[[#This Row],[Biomasa recalculada con materia seca registrada (kg MS/ha)]]-tblMSCalculada[[#This Row],[Biomasa informada en el libro histórico (kg MS/ha)]]</f>
        <v/>
      </c>
      <c r="U40" s="14">
        <f>tblMSCalculada[[#This Row],[Macollos en 30 cm (macollos/30 cm)]]*(100/30)*(100/INDEX(tblMetadatos[Valor],MATCH("row_spacing_cm",tblMetadatos[Parámetro],0)))</f>
        <v/>
      </c>
    </row>
    <row r="41">
      <c r="A41" s="6" t="inlineStr">
        <is>
          <t>dm_20250916_riego_m2_r1</t>
        </is>
      </c>
      <c r="B41" s="13">
        <f>INDEX(tblMSRegistrada[Fecha],MATCH(tblMSCalculada[[#This Row],[Identificador de observación]],tblMSRegistrada[Identificador de observación],0))</f>
        <v/>
      </c>
      <c r="C41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41" s="6">
        <f>INDEX(tblMSRegistrada[Sector hídrico],MATCH(tblMSCalculada[[#This Row],[Identificador de observación]],tblMSRegistrada[Identificador de observación],0))</f>
        <v/>
      </c>
      <c r="E41" s="6">
        <f>INDEX(tblMSRegistrada[Tratamiento],MATCH(tblMSCalculada[[#This Row],[Identificador de observación]],tblMSRegistrada[Identificador de observación],0))</f>
        <v/>
      </c>
      <c r="F41" s="6">
        <f>INDEX(tblMSRegistrada[Bloque],MATCH(tblMSCalculada[[#This Row],[Identificador de observación]],tblMSRegistrada[Identificador de observación],0))</f>
        <v/>
      </c>
      <c r="G41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41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41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41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41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41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41" s="14">
        <f>100*tblMSCalculada[[#This Row],[Peso seco (g)]]/tblMSCalculada[[#This Row],[Peso verde de la muestra (g)]]</f>
        <v/>
      </c>
      <c r="N41" s="14">
        <f>ABS(tblMSCalculada[[#This Row],[Materia seca registrada (%)]]-tblMSCalculada[[#This Row],[Materia seca reconstruida (%)]])</f>
        <v/>
      </c>
      <c r="O41" s="14">
        <f>tblMSCalculada[[#This Row],[Diferencia absoluta de materia seca (puntos porcentuales)]]/ABS(tblMSCalculada[[#This Row],[Materia seca registrada (%)]])</f>
        <v/>
      </c>
      <c r="P41" s="6">
        <f>AND(tblMSCalculada[[#This Row],[Diferencia absoluta de materia seca (puntos porcentuales)]]&gt;=5,tblMSCalculada[[#This Row],[Diferencia relativa de materia seca (proporción)]]&gt;=0.20)</f>
        <v/>
      </c>
      <c r="Q41" s="14" t="n">
        <v>7915</v>
      </c>
      <c r="R41" s="14">
        <f>tblMSCalculada[[#This Row],[Peso verde en un metro (g)]]*(tblMSCalculada[[#This Row],[Materia seca registrada (%)]]/100)*10/INDEX(tblMetadatos[Valor],MATCH("biomass_sample_area_m2",tblMetadatos[Parámetro],0))</f>
        <v/>
      </c>
      <c r="S41" s="14">
        <f>tblMSCalculada[[#This Row],[Peso verde en un metro (g)]]*(tblMSCalculada[[#This Row],[Materia seca reconstruida (%)]]/100)*10/INDEX(tblMetadatos[Valor],MATCH("biomass_sample_area_m2",tblMetadatos[Parámetro],0))</f>
        <v/>
      </c>
      <c r="T41" s="14">
        <f>tblMSCalculada[[#This Row],[Biomasa recalculada con materia seca registrada (kg MS/ha)]]-tblMSCalculada[[#This Row],[Biomasa informada en el libro histórico (kg MS/ha)]]</f>
        <v/>
      </c>
      <c r="U41" s="14">
        <f>tblMSCalculada[[#This Row],[Macollos en 30 cm (macollos/30 cm)]]*(100/30)*(100/INDEX(tblMetadatos[Valor],MATCH("row_spacing_cm",tblMetadatos[Parámetro],0)))</f>
        <v/>
      </c>
    </row>
    <row r="42">
      <c r="A42" s="6" t="inlineStr">
        <is>
          <t>dm_20250916_riego_m3_r1</t>
        </is>
      </c>
      <c r="B42" s="13">
        <f>INDEX(tblMSRegistrada[Fecha],MATCH(tblMSCalculada[[#This Row],[Identificador de observación]],tblMSRegistrada[Identificador de observación],0))</f>
        <v/>
      </c>
      <c r="C42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42" s="6">
        <f>INDEX(tblMSRegistrada[Sector hídrico],MATCH(tblMSCalculada[[#This Row],[Identificador de observación]],tblMSRegistrada[Identificador de observación],0))</f>
        <v/>
      </c>
      <c r="E42" s="6">
        <f>INDEX(tblMSRegistrada[Tratamiento],MATCH(tblMSCalculada[[#This Row],[Identificador de observación]],tblMSRegistrada[Identificador de observación],0))</f>
        <v/>
      </c>
      <c r="F42" s="6">
        <f>INDEX(tblMSRegistrada[Bloque],MATCH(tblMSCalculada[[#This Row],[Identificador de observación]],tblMSRegistrada[Identificador de observación],0))</f>
        <v/>
      </c>
      <c r="G42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42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42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42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42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42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42" s="14">
        <f>100*tblMSCalculada[[#This Row],[Peso seco (g)]]/tblMSCalculada[[#This Row],[Peso verde de la muestra (g)]]</f>
        <v/>
      </c>
      <c r="N42" s="14">
        <f>ABS(tblMSCalculada[[#This Row],[Materia seca registrada (%)]]-tblMSCalculada[[#This Row],[Materia seca reconstruida (%)]])</f>
        <v/>
      </c>
      <c r="O42" s="14">
        <f>tblMSCalculada[[#This Row],[Diferencia absoluta de materia seca (puntos porcentuales)]]/ABS(tblMSCalculada[[#This Row],[Materia seca registrada (%)]])</f>
        <v/>
      </c>
      <c r="P42" s="6">
        <f>AND(tblMSCalculada[[#This Row],[Diferencia absoluta de materia seca (puntos porcentuales)]]&gt;=5,tblMSCalculada[[#This Row],[Diferencia relativa de materia seca (proporción)]]&gt;=0.20)</f>
        <v/>
      </c>
      <c r="Q42" s="14" t="n">
        <v>6181</v>
      </c>
      <c r="R42" s="14">
        <f>tblMSCalculada[[#This Row],[Peso verde en un metro (g)]]*(tblMSCalculada[[#This Row],[Materia seca registrada (%)]]/100)*10/INDEX(tblMetadatos[Valor],MATCH("biomass_sample_area_m2",tblMetadatos[Parámetro],0))</f>
        <v/>
      </c>
      <c r="S42" s="14">
        <f>tblMSCalculada[[#This Row],[Peso verde en un metro (g)]]*(tblMSCalculada[[#This Row],[Materia seca reconstruida (%)]]/100)*10/INDEX(tblMetadatos[Valor],MATCH("biomass_sample_area_m2",tblMetadatos[Parámetro],0))</f>
        <v/>
      </c>
      <c r="T42" s="14">
        <f>tblMSCalculada[[#This Row],[Biomasa recalculada con materia seca registrada (kg MS/ha)]]-tblMSCalculada[[#This Row],[Biomasa informada en el libro histórico (kg MS/ha)]]</f>
        <v/>
      </c>
      <c r="U42" s="14">
        <f>tblMSCalculada[[#This Row],[Macollos en 30 cm (macollos/30 cm)]]*(100/30)*(100/INDEX(tblMetadatos[Valor],MATCH("row_spacing_cm",tblMetadatos[Parámetro],0)))</f>
        <v/>
      </c>
    </row>
    <row r="43">
      <c r="A43" s="6" t="inlineStr">
        <is>
          <t>dm_20250916_riego_m4_r1</t>
        </is>
      </c>
      <c r="B43" s="13">
        <f>INDEX(tblMSRegistrada[Fecha],MATCH(tblMSCalculada[[#This Row],[Identificador de observación]],tblMSRegistrada[Identificador de observación],0))</f>
        <v/>
      </c>
      <c r="C43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43" s="6">
        <f>INDEX(tblMSRegistrada[Sector hídrico],MATCH(tblMSCalculada[[#This Row],[Identificador de observación]],tblMSRegistrada[Identificador de observación],0))</f>
        <v/>
      </c>
      <c r="E43" s="6">
        <f>INDEX(tblMSRegistrada[Tratamiento],MATCH(tblMSCalculada[[#This Row],[Identificador de observación]],tblMSRegistrada[Identificador de observación],0))</f>
        <v/>
      </c>
      <c r="F43" s="6">
        <f>INDEX(tblMSRegistrada[Bloque],MATCH(tblMSCalculada[[#This Row],[Identificador de observación]],tblMSRegistrada[Identificador de observación],0))</f>
        <v/>
      </c>
      <c r="G43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43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43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43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43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43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43" s="14">
        <f>100*tblMSCalculada[[#This Row],[Peso seco (g)]]/tblMSCalculada[[#This Row],[Peso verde de la muestra (g)]]</f>
        <v/>
      </c>
      <c r="N43" s="14">
        <f>ABS(tblMSCalculada[[#This Row],[Materia seca registrada (%)]]-tblMSCalculada[[#This Row],[Materia seca reconstruida (%)]])</f>
        <v/>
      </c>
      <c r="O43" s="14">
        <f>tblMSCalculada[[#This Row],[Diferencia absoluta de materia seca (puntos porcentuales)]]/ABS(tblMSCalculada[[#This Row],[Materia seca registrada (%)]])</f>
        <v/>
      </c>
      <c r="P43" s="6">
        <f>AND(tblMSCalculada[[#This Row],[Diferencia absoluta de materia seca (puntos porcentuales)]]&gt;=5,tblMSCalculada[[#This Row],[Diferencia relativa de materia seca (proporción)]]&gt;=0.20)</f>
        <v/>
      </c>
      <c r="Q43" s="14" t="n">
        <v>6688</v>
      </c>
      <c r="R43" s="14">
        <f>tblMSCalculada[[#This Row],[Peso verde en un metro (g)]]*(tblMSCalculada[[#This Row],[Materia seca registrada (%)]]/100)*10/INDEX(tblMetadatos[Valor],MATCH("biomass_sample_area_m2",tblMetadatos[Parámetro],0))</f>
        <v/>
      </c>
      <c r="S43" s="14">
        <f>tblMSCalculada[[#This Row],[Peso verde en un metro (g)]]*(tblMSCalculada[[#This Row],[Materia seca reconstruida (%)]]/100)*10/INDEX(tblMetadatos[Valor],MATCH("biomass_sample_area_m2",tblMetadatos[Parámetro],0))</f>
        <v/>
      </c>
      <c r="T43" s="14">
        <f>tblMSCalculada[[#This Row],[Biomasa recalculada con materia seca registrada (kg MS/ha)]]-tblMSCalculada[[#This Row],[Biomasa informada en el libro histórico (kg MS/ha)]]</f>
        <v/>
      </c>
      <c r="U43" s="14">
        <f>tblMSCalculada[[#This Row],[Macollos en 30 cm (macollos/30 cm)]]*(100/30)*(100/INDEX(tblMetadatos[Valor],MATCH("row_spacing_cm",tblMetadatos[Parámetro],0)))</f>
        <v/>
      </c>
    </row>
    <row r="44">
      <c r="A44" s="6" t="inlineStr">
        <is>
          <t>dm_20250916_riego_m5_r1</t>
        </is>
      </c>
      <c r="B44" s="13">
        <f>INDEX(tblMSRegistrada[Fecha],MATCH(tblMSCalculada[[#This Row],[Identificador de observación]],tblMSRegistrada[Identificador de observación],0))</f>
        <v/>
      </c>
      <c r="C44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44" s="6">
        <f>INDEX(tblMSRegistrada[Sector hídrico],MATCH(tblMSCalculada[[#This Row],[Identificador de observación]],tblMSRegistrada[Identificador de observación],0))</f>
        <v/>
      </c>
      <c r="E44" s="6">
        <f>INDEX(tblMSRegistrada[Tratamiento],MATCH(tblMSCalculada[[#This Row],[Identificador de observación]],tblMSRegistrada[Identificador de observación],0))</f>
        <v/>
      </c>
      <c r="F44" s="6">
        <f>INDEX(tblMSRegistrada[Bloque],MATCH(tblMSCalculada[[#This Row],[Identificador de observación]],tblMSRegistrada[Identificador de observación],0))</f>
        <v/>
      </c>
      <c r="G44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44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44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44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44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44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44" s="14">
        <f>100*tblMSCalculada[[#This Row],[Peso seco (g)]]/tblMSCalculada[[#This Row],[Peso verde de la muestra (g)]]</f>
        <v/>
      </c>
      <c r="N44" s="14">
        <f>ABS(tblMSCalculada[[#This Row],[Materia seca registrada (%)]]-tblMSCalculada[[#This Row],[Materia seca reconstruida (%)]])</f>
        <v/>
      </c>
      <c r="O44" s="14">
        <f>tblMSCalculada[[#This Row],[Diferencia absoluta de materia seca (puntos porcentuales)]]/ABS(tblMSCalculada[[#This Row],[Materia seca registrada (%)]])</f>
        <v/>
      </c>
      <c r="P44" s="6">
        <f>AND(tblMSCalculada[[#This Row],[Diferencia absoluta de materia seca (puntos porcentuales)]]&gt;=5,tblMSCalculada[[#This Row],[Diferencia relativa de materia seca (proporción)]]&gt;=0.20)</f>
        <v/>
      </c>
      <c r="Q44" s="14" t="n">
        <v>4354</v>
      </c>
      <c r="R44" s="14">
        <f>tblMSCalculada[[#This Row],[Peso verde en un metro (g)]]*(tblMSCalculada[[#This Row],[Materia seca registrada (%)]]/100)*10/INDEX(tblMetadatos[Valor],MATCH("biomass_sample_area_m2",tblMetadatos[Parámetro],0))</f>
        <v/>
      </c>
      <c r="S44" s="14">
        <f>tblMSCalculada[[#This Row],[Peso verde en un metro (g)]]*(tblMSCalculada[[#This Row],[Materia seca reconstruida (%)]]/100)*10/INDEX(tblMetadatos[Valor],MATCH("biomass_sample_area_m2",tblMetadatos[Parámetro],0))</f>
        <v/>
      </c>
      <c r="T44" s="14">
        <f>tblMSCalculada[[#This Row],[Biomasa recalculada con materia seca registrada (kg MS/ha)]]-tblMSCalculada[[#This Row],[Biomasa informada en el libro histórico (kg MS/ha)]]</f>
        <v/>
      </c>
      <c r="U44" s="14">
        <f>tblMSCalculada[[#This Row],[Macollos en 30 cm (macollos/30 cm)]]*(100/30)*(100/INDEX(tblMetadatos[Valor],MATCH("row_spacing_cm",tblMetadatos[Parámetro],0)))</f>
        <v/>
      </c>
    </row>
    <row r="45">
      <c r="A45" s="6" t="inlineStr">
        <is>
          <t>dm_20250916_riego_m3_r2</t>
        </is>
      </c>
      <c r="B45" s="13">
        <f>INDEX(tblMSRegistrada[Fecha],MATCH(tblMSCalculada[[#This Row],[Identificador de observación]],tblMSRegistrada[Identificador de observación],0))</f>
        <v/>
      </c>
      <c r="C45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45" s="6">
        <f>INDEX(tblMSRegistrada[Sector hídrico],MATCH(tblMSCalculada[[#This Row],[Identificador de observación]],tblMSRegistrada[Identificador de observación],0))</f>
        <v/>
      </c>
      <c r="E45" s="6">
        <f>INDEX(tblMSRegistrada[Tratamiento],MATCH(tblMSCalculada[[#This Row],[Identificador de observación]],tblMSRegistrada[Identificador de observación],0))</f>
        <v/>
      </c>
      <c r="F45" s="6">
        <f>INDEX(tblMSRegistrada[Bloque],MATCH(tblMSCalculada[[#This Row],[Identificador de observación]],tblMSRegistrada[Identificador de observación],0))</f>
        <v/>
      </c>
      <c r="G45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45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45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45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45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45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45" s="14">
        <f>100*tblMSCalculada[[#This Row],[Peso seco (g)]]/tblMSCalculada[[#This Row],[Peso verde de la muestra (g)]]</f>
        <v/>
      </c>
      <c r="N45" s="14">
        <f>ABS(tblMSCalculada[[#This Row],[Materia seca registrada (%)]]-tblMSCalculada[[#This Row],[Materia seca reconstruida (%)]])</f>
        <v/>
      </c>
      <c r="O45" s="14">
        <f>tblMSCalculada[[#This Row],[Diferencia absoluta de materia seca (puntos porcentuales)]]/ABS(tblMSCalculada[[#This Row],[Materia seca registrada (%)]])</f>
        <v/>
      </c>
      <c r="P45" s="6">
        <f>AND(tblMSCalculada[[#This Row],[Diferencia absoluta de materia seca (puntos porcentuales)]]&gt;=5,tblMSCalculada[[#This Row],[Diferencia relativa de materia seca (proporción)]]&gt;=0.20)</f>
        <v/>
      </c>
      <c r="Q45" s="14" t="n">
        <v>5283</v>
      </c>
      <c r="R45" s="14">
        <f>tblMSCalculada[[#This Row],[Peso verde en un metro (g)]]*(tblMSCalculada[[#This Row],[Materia seca registrada (%)]]/100)*10/INDEX(tblMetadatos[Valor],MATCH("biomass_sample_area_m2",tblMetadatos[Parámetro],0))</f>
        <v/>
      </c>
      <c r="S45" s="14">
        <f>tblMSCalculada[[#This Row],[Peso verde en un metro (g)]]*(tblMSCalculada[[#This Row],[Materia seca reconstruida (%)]]/100)*10/INDEX(tblMetadatos[Valor],MATCH("biomass_sample_area_m2",tblMetadatos[Parámetro],0))</f>
        <v/>
      </c>
      <c r="T45" s="14">
        <f>tblMSCalculada[[#This Row],[Biomasa recalculada con materia seca registrada (kg MS/ha)]]-tblMSCalculada[[#This Row],[Biomasa informada en el libro histórico (kg MS/ha)]]</f>
        <v/>
      </c>
      <c r="U45" s="14">
        <f>tblMSCalculada[[#This Row],[Macollos en 30 cm (macollos/30 cm)]]*(100/30)*(100/INDEX(tblMetadatos[Valor],MATCH("row_spacing_cm",tblMetadatos[Parámetro],0)))</f>
        <v/>
      </c>
    </row>
    <row r="46">
      <c r="A46" s="6" t="inlineStr">
        <is>
          <t>dm_20250916_riego_m2_r2</t>
        </is>
      </c>
      <c r="B46" s="13">
        <f>INDEX(tblMSRegistrada[Fecha],MATCH(tblMSCalculada[[#This Row],[Identificador de observación]],tblMSRegistrada[Identificador de observación],0))</f>
        <v/>
      </c>
      <c r="C46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46" s="6">
        <f>INDEX(tblMSRegistrada[Sector hídrico],MATCH(tblMSCalculada[[#This Row],[Identificador de observación]],tblMSRegistrada[Identificador de observación],0))</f>
        <v/>
      </c>
      <c r="E46" s="6">
        <f>INDEX(tblMSRegistrada[Tratamiento],MATCH(tblMSCalculada[[#This Row],[Identificador de observación]],tblMSRegistrada[Identificador de observación],0))</f>
        <v/>
      </c>
      <c r="F46" s="6">
        <f>INDEX(tblMSRegistrada[Bloque],MATCH(tblMSCalculada[[#This Row],[Identificador de observación]],tblMSRegistrada[Identificador de observación],0))</f>
        <v/>
      </c>
      <c r="G46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46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46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46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46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46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46" s="14">
        <f>100*tblMSCalculada[[#This Row],[Peso seco (g)]]/tblMSCalculada[[#This Row],[Peso verde de la muestra (g)]]</f>
        <v/>
      </c>
      <c r="N46" s="14">
        <f>ABS(tblMSCalculada[[#This Row],[Materia seca registrada (%)]]-tblMSCalculada[[#This Row],[Materia seca reconstruida (%)]])</f>
        <v/>
      </c>
      <c r="O46" s="14">
        <f>tblMSCalculada[[#This Row],[Diferencia absoluta de materia seca (puntos porcentuales)]]/ABS(tblMSCalculada[[#This Row],[Materia seca registrada (%)]])</f>
        <v/>
      </c>
      <c r="P46" s="6">
        <f>AND(tblMSCalculada[[#This Row],[Diferencia absoluta de materia seca (puntos porcentuales)]]&gt;=5,tblMSCalculada[[#This Row],[Diferencia relativa de materia seca (proporción)]]&gt;=0.20)</f>
        <v/>
      </c>
      <c r="Q46" s="14" t="n">
        <v>7926</v>
      </c>
      <c r="R46" s="14">
        <f>tblMSCalculada[[#This Row],[Peso verde en un metro (g)]]*(tblMSCalculada[[#This Row],[Materia seca registrada (%)]]/100)*10/INDEX(tblMetadatos[Valor],MATCH("biomass_sample_area_m2",tblMetadatos[Parámetro],0))</f>
        <v/>
      </c>
      <c r="S46" s="14">
        <f>tblMSCalculada[[#This Row],[Peso verde en un metro (g)]]*(tblMSCalculada[[#This Row],[Materia seca reconstruida (%)]]/100)*10/INDEX(tblMetadatos[Valor],MATCH("biomass_sample_area_m2",tblMetadatos[Parámetro],0))</f>
        <v/>
      </c>
      <c r="T46" s="14">
        <f>tblMSCalculada[[#This Row],[Biomasa recalculada con materia seca registrada (kg MS/ha)]]-tblMSCalculada[[#This Row],[Biomasa informada en el libro histórico (kg MS/ha)]]</f>
        <v/>
      </c>
      <c r="U46" s="14">
        <f>tblMSCalculada[[#This Row],[Macollos en 30 cm (macollos/30 cm)]]*(100/30)*(100/INDEX(tblMetadatos[Valor],MATCH("row_spacing_cm",tblMetadatos[Parámetro],0)))</f>
        <v/>
      </c>
    </row>
    <row r="47">
      <c r="A47" s="6" t="inlineStr">
        <is>
          <t>dm_20250916_riego_m4_r2</t>
        </is>
      </c>
      <c r="B47" s="13">
        <f>INDEX(tblMSRegistrada[Fecha],MATCH(tblMSCalculada[[#This Row],[Identificador de observación]],tblMSRegistrada[Identificador de observación],0))</f>
        <v/>
      </c>
      <c r="C47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47" s="6">
        <f>INDEX(tblMSRegistrada[Sector hídrico],MATCH(tblMSCalculada[[#This Row],[Identificador de observación]],tblMSRegistrada[Identificador de observación],0))</f>
        <v/>
      </c>
      <c r="E47" s="6">
        <f>INDEX(tblMSRegistrada[Tratamiento],MATCH(tblMSCalculada[[#This Row],[Identificador de observación]],tblMSRegistrada[Identificador de observación],0))</f>
        <v/>
      </c>
      <c r="F47" s="6">
        <f>INDEX(tblMSRegistrada[Bloque],MATCH(tblMSCalculada[[#This Row],[Identificador de observación]],tblMSRegistrada[Identificador de observación],0))</f>
        <v/>
      </c>
      <c r="G47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47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47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47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47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47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47" s="14">
        <f>100*tblMSCalculada[[#This Row],[Peso seco (g)]]/tblMSCalculada[[#This Row],[Peso verde de la muestra (g)]]</f>
        <v/>
      </c>
      <c r="N47" s="14">
        <f>ABS(tblMSCalculada[[#This Row],[Materia seca registrada (%)]]-tblMSCalculada[[#This Row],[Materia seca reconstruida (%)]])</f>
        <v/>
      </c>
      <c r="O47" s="14">
        <f>tblMSCalculada[[#This Row],[Diferencia absoluta de materia seca (puntos porcentuales)]]/ABS(tblMSCalculada[[#This Row],[Materia seca registrada (%)]])</f>
        <v/>
      </c>
      <c r="P47" s="6">
        <f>AND(tblMSCalculada[[#This Row],[Diferencia absoluta de materia seca (puntos porcentuales)]]&gt;=5,tblMSCalculada[[#This Row],[Diferencia relativa de materia seca (proporción)]]&gt;=0.20)</f>
        <v/>
      </c>
      <c r="Q47" s="14" t="n">
        <v>6064</v>
      </c>
      <c r="R47" s="14">
        <f>tblMSCalculada[[#This Row],[Peso verde en un metro (g)]]*(tblMSCalculada[[#This Row],[Materia seca registrada (%)]]/100)*10/INDEX(tblMetadatos[Valor],MATCH("biomass_sample_area_m2",tblMetadatos[Parámetro],0))</f>
        <v/>
      </c>
      <c r="S47" s="14">
        <f>tblMSCalculada[[#This Row],[Peso verde en un metro (g)]]*(tblMSCalculada[[#This Row],[Materia seca reconstruida (%)]]/100)*10/INDEX(tblMetadatos[Valor],MATCH("biomass_sample_area_m2",tblMetadatos[Parámetro],0))</f>
        <v/>
      </c>
      <c r="T47" s="14">
        <f>tblMSCalculada[[#This Row],[Biomasa recalculada con materia seca registrada (kg MS/ha)]]-tblMSCalculada[[#This Row],[Biomasa informada en el libro histórico (kg MS/ha)]]</f>
        <v/>
      </c>
      <c r="U47" s="14">
        <f>tblMSCalculada[[#This Row],[Macollos en 30 cm (macollos/30 cm)]]*(100/30)*(100/INDEX(tblMetadatos[Valor],MATCH("row_spacing_cm",tblMetadatos[Parámetro],0)))</f>
        <v/>
      </c>
    </row>
    <row r="48">
      <c r="A48" s="6" t="inlineStr">
        <is>
          <t>dm_20250916_riego_m0_r2</t>
        </is>
      </c>
      <c r="B48" s="13">
        <f>INDEX(tblMSRegistrada[Fecha],MATCH(tblMSCalculada[[#This Row],[Identificador de observación]],tblMSRegistrada[Identificador de observación],0))</f>
        <v/>
      </c>
      <c r="C48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48" s="6">
        <f>INDEX(tblMSRegistrada[Sector hídrico],MATCH(tblMSCalculada[[#This Row],[Identificador de observación]],tblMSRegistrada[Identificador de observación],0))</f>
        <v/>
      </c>
      <c r="E48" s="6">
        <f>INDEX(tblMSRegistrada[Tratamiento],MATCH(tblMSCalculada[[#This Row],[Identificador de observación]],tblMSRegistrada[Identificador de observación],0))</f>
        <v/>
      </c>
      <c r="F48" s="6">
        <f>INDEX(tblMSRegistrada[Bloque],MATCH(tblMSCalculada[[#This Row],[Identificador de observación]],tblMSRegistrada[Identificador de observación],0))</f>
        <v/>
      </c>
      <c r="G48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48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48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48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48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48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48" s="14">
        <f>100*tblMSCalculada[[#This Row],[Peso seco (g)]]/tblMSCalculada[[#This Row],[Peso verde de la muestra (g)]]</f>
        <v/>
      </c>
      <c r="N48" s="14">
        <f>ABS(tblMSCalculada[[#This Row],[Materia seca registrada (%)]]-tblMSCalculada[[#This Row],[Materia seca reconstruida (%)]])</f>
        <v/>
      </c>
      <c r="O48" s="14">
        <f>tblMSCalculada[[#This Row],[Diferencia absoluta de materia seca (puntos porcentuales)]]/ABS(tblMSCalculada[[#This Row],[Materia seca registrada (%)]])</f>
        <v/>
      </c>
      <c r="P48" s="6">
        <f>AND(tblMSCalculada[[#This Row],[Diferencia absoluta de materia seca (puntos porcentuales)]]&gt;=5,tblMSCalculada[[#This Row],[Diferencia relativa de materia seca (proporción)]]&gt;=0.20)</f>
        <v/>
      </c>
      <c r="Q48" s="14" t="n">
        <v>4637</v>
      </c>
      <c r="R48" s="14">
        <f>tblMSCalculada[[#This Row],[Peso verde en un metro (g)]]*(tblMSCalculada[[#This Row],[Materia seca registrada (%)]]/100)*10/INDEX(tblMetadatos[Valor],MATCH("biomass_sample_area_m2",tblMetadatos[Parámetro],0))</f>
        <v/>
      </c>
      <c r="S48" s="14">
        <f>tblMSCalculada[[#This Row],[Peso verde en un metro (g)]]*(tblMSCalculada[[#This Row],[Materia seca reconstruida (%)]]/100)*10/INDEX(tblMetadatos[Valor],MATCH("biomass_sample_area_m2",tblMetadatos[Parámetro],0))</f>
        <v/>
      </c>
      <c r="T48" s="14">
        <f>tblMSCalculada[[#This Row],[Biomasa recalculada con materia seca registrada (kg MS/ha)]]-tblMSCalculada[[#This Row],[Biomasa informada en el libro histórico (kg MS/ha)]]</f>
        <v/>
      </c>
      <c r="U48" s="14">
        <f>tblMSCalculada[[#This Row],[Macollos en 30 cm (macollos/30 cm)]]*(100/30)*(100/INDEX(tblMetadatos[Valor],MATCH("row_spacing_cm",tblMetadatos[Parámetro],0)))</f>
        <v/>
      </c>
    </row>
    <row r="49">
      <c r="A49" s="6" t="inlineStr">
        <is>
          <t>dm_20250916_riego_m1_r2</t>
        </is>
      </c>
      <c r="B49" s="13">
        <f>INDEX(tblMSRegistrada[Fecha],MATCH(tblMSCalculada[[#This Row],[Identificador de observación]],tblMSRegistrada[Identificador de observación],0))</f>
        <v/>
      </c>
      <c r="C49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49" s="6">
        <f>INDEX(tblMSRegistrada[Sector hídrico],MATCH(tblMSCalculada[[#This Row],[Identificador de observación]],tblMSRegistrada[Identificador de observación],0))</f>
        <v/>
      </c>
      <c r="E49" s="6">
        <f>INDEX(tblMSRegistrada[Tratamiento],MATCH(tblMSCalculada[[#This Row],[Identificador de observación]],tblMSRegistrada[Identificador de observación],0))</f>
        <v/>
      </c>
      <c r="F49" s="6">
        <f>INDEX(tblMSRegistrada[Bloque],MATCH(tblMSCalculada[[#This Row],[Identificador de observación]],tblMSRegistrada[Identificador de observación],0))</f>
        <v/>
      </c>
      <c r="G49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49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49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49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49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49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49" s="14">
        <f>100*tblMSCalculada[[#This Row],[Peso seco (g)]]/tblMSCalculada[[#This Row],[Peso verde de la muestra (g)]]</f>
        <v/>
      </c>
      <c r="N49" s="14">
        <f>ABS(tblMSCalculada[[#This Row],[Materia seca registrada (%)]]-tblMSCalculada[[#This Row],[Materia seca reconstruida (%)]])</f>
        <v/>
      </c>
      <c r="O49" s="14">
        <f>tblMSCalculada[[#This Row],[Diferencia absoluta de materia seca (puntos porcentuales)]]/ABS(tblMSCalculada[[#This Row],[Materia seca registrada (%)]])</f>
        <v/>
      </c>
      <c r="P49" s="6">
        <f>AND(tblMSCalculada[[#This Row],[Diferencia absoluta de materia seca (puntos porcentuales)]]&gt;=5,tblMSCalculada[[#This Row],[Diferencia relativa de materia seca (proporción)]]&gt;=0.20)</f>
        <v/>
      </c>
      <c r="Q49" s="14" t="n">
        <v>7838</v>
      </c>
      <c r="R49" s="14">
        <f>tblMSCalculada[[#This Row],[Peso verde en un metro (g)]]*(tblMSCalculada[[#This Row],[Materia seca registrada (%)]]/100)*10/INDEX(tblMetadatos[Valor],MATCH("biomass_sample_area_m2",tblMetadatos[Parámetro],0))</f>
        <v/>
      </c>
      <c r="S49" s="14">
        <f>tblMSCalculada[[#This Row],[Peso verde en un metro (g)]]*(tblMSCalculada[[#This Row],[Materia seca reconstruida (%)]]/100)*10/INDEX(tblMetadatos[Valor],MATCH("biomass_sample_area_m2",tblMetadatos[Parámetro],0))</f>
        <v/>
      </c>
      <c r="T49" s="14">
        <f>tblMSCalculada[[#This Row],[Biomasa recalculada con materia seca registrada (kg MS/ha)]]-tblMSCalculada[[#This Row],[Biomasa informada en el libro histórico (kg MS/ha)]]</f>
        <v/>
      </c>
      <c r="U49" s="14">
        <f>tblMSCalculada[[#This Row],[Macollos en 30 cm (macollos/30 cm)]]*(100/30)*(100/INDEX(tblMetadatos[Valor],MATCH("row_spacing_cm",tblMetadatos[Parámetro],0)))</f>
        <v/>
      </c>
    </row>
    <row r="50">
      <c r="A50" s="6" t="inlineStr">
        <is>
          <t>dm_20250916_riego_m5_r2</t>
        </is>
      </c>
      <c r="B50" s="13">
        <f>INDEX(tblMSRegistrada[Fecha],MATCH(tblMSCalculada[[#This Row],[Identificador de observación]],tblMSRegistrada[Identificador de observación],0))</f>
        <v/>
      </c>
      <c r="C50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50" s="6">
        <f>INDEX(tblMSRegistrada[Sector hídrico],MATCH(tblMSCalculada[[#This Row],[Identificador de observación]],tblMSRegistrada[Identificador de observación],0))</f>
        <v/>
      </c>
      <c r="E50" s="6">
        <f>INDEX(tblMSRegistrada[Tratamiento],MATCH(tblMSCalculada[[#This Row],[Identificador de observación]],tblMSRegistrada[Identificador de observación],0))</f>
        <v/>
      </c>
      <c r="F50" s="6">
        <f>INDEX(tblMSRegistrada[Bloque],MATCH(tblMSCalculada[[#This Row],[Identificador de observación]],tblMSRegistrada[Identificador de observación],0))</f>
        <v/>
      </c>
      <c r="G50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50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50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50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50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50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50" s="14">
        <f>100*tblMSCalculada[[#This Row],[Peso seco (g)]]/tblMSCalculada[[#This Row],[Peso verde de la muestra (g)]]</f>
        <v/>
      </c>
      <c r="N50" s="14">
        <f>ABS(tblMSCalculada[[#This Row],[Materia seca registrada (%)]]-tblMSCalculada[[#This Row],[Materia seca reconstruida (%)]])</f>
        <v/>
      </c>
      <c r="O50" s="14">
        <f>tblMSCalculada[[#This Row],[Diferencia absoluta de materia seca (puntos porcentuales)]]/ABS(tblMSCalculada[[#This Row],[Materia seca registrada (%)]])</f>
        <v/>
      </c>
      <c r="P50" s="6">
        <f>AND(tblMSCalculada[[#This Row],[Diferencia absoluta de materia seca (puntos porcentuales)]]&gt;=5,tblMSCalculada[[#This Row],[Diferencia relativa de materia seca (proporción)]]&gt;=0.20)</f>
        <v/>
      </c>
      <c r="Q50" s="14" t="n">
        <v>5240</v>
      </c>
      <c r="R50" s="14">
        <f>tblMSCalculada[[#This Row],[Peso verde en un metro (g)]]*(tblMSCalculada[[#This Row],[Materia seca registrada (%)]]/100)*10/INDEX(tblMetadatos[Valor],MATCH("biomass_sample_area_m2",tblMetadatos[Parámetro],0))</f>
        <v/>
      </c>
      <c r="S50" s="14">
        <f>tblMSCalculada[[#This Row],[Peso verde en un metro (g)]]*(tblMSCalculada[[#This Row],[Materia seca reconstruida (%)]]/100)*10/INDEX(tblMetadatos[Valor],MATCH("biomass_sample_area_m2",tblMetadatos[Parámetro],0))</f>
        <v/>
      </c>
      <c r="T50" s="14">
        <f>tblMSCalculada[[#This Row],[Biomasa recalculada con materia seca registrada (kg MS/ha)]]-tblMSCalculada[[#This Row],[Biomasa informada en el libro histórico (kg MS/ha)]]</f>
        <v/>
      </c>
      <c r="U50" s="14">
        <f>tblMSCalculada[[#This Row],[Macollos en 30 cm (macollos/30 cm)]]*(100/30)*(100/INDEX(tblMetadatos[Valor],MATCH("row_spacing_cm",tblMetadatos[Parámetro],0)))</f>
        <v/>
      </c>
    </row>
    <row r="51">
      <c r="A51" s="6" t="inlineStr">
        <is>
          <t>dm_20250916_riego_m3_r3</t>
        </is>
      </c>
      <c r="B51" s="13">
        <f>INDEX(tblMSRegistrada[Fecha],MATCH(tblMSCalculada[[#This Row],[Identificador de observación]],tblMSRegistrada[Identificador de observación],0))</f>
        <v/>
      </c>
      <c r="C51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51" s="6">
        <f>INDEX(tblMSRegistrada[Sector hídrico],MATCH(tblMSCalculada[[#This Row],[Identificador de observación]],tblMSRegistrada[Identificador de observación],0))</f>
        <v/>
      </c>
      <c r="E51" s="6">
        <f>INDEX(tblMSRegistrada[Tratamiento],MATCH(tblMSCalculada[[#This Row],[Identificador de observación]],tblMSRegistrada[Identificador de observación],0))</f>
        <v/>
      </c>
      <c r="F51" s="6">
        <f>INDEX(tblMSRegistrada[Bloque],MATCH(tblMSCalculada[[#This Row],[Identificador de observación]],tblMSRegistrada[Identificador de observación],0))</f>
        <v/>
      </c>
      <c r="G51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51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51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51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51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51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51" s="14">
        <f>100*tblMSCalculada[[#This Row],[Peso seco (g)]]/tblMSCalculada[[#This Row],[Peso verde de la muestra (g)]]</f>
        <v/>
      </c>
      <c r="N51" s="14">
        <f>ABS(tblMSCalculada[[#This Row],[Materia seca registrada (%)]]-tblMSCalculada[[#This Row],[Materia seca reconstruida (%)]])</f>
        <v/>
      </c>
      <c r="O51" s="14">
        <f>tblMSCalculada[[#This Row],[Diferencia absoluta de materia seca (puntos porcentuales)]]/ABS(tblMSCalculada[[#This Row],[Materia seca registrada (%)]])</f>
        <v/>
      </c>
      <c r="P51" s="6">
        <f>AND(tblMSCalculada[[#This Row],[Diferencia absoluta de materia seca (puntos porcentuales)]]&gt;=5,tblMSCalculada[[#This Row],[Diferencia relativa de materia seca (proporción)]]&gt;=0.20)</f>
        <v/>
      </c>
      <c r="Q51" s="14" t="n">
        <v>6046</v>
      </c>
      <c r="R51" s="14">
        <f>tblMSCalculada[[#This Row],[Peso verde en un metro (g)]]*(tblMSCalculada[[#This Row],[Materia seca registrada (%)]]/100)*10/INDEX(tblMetadatos[Valor],MATCH("biomass_sample_area_m2",tblMetadatos[Parámetro],0))</f>
        <v/>
      </c>
      <c r="S51" s="14">
        <f>tblMSCalculada[[#This Row],[Peso verde en un metro (g)]]*(tblMSCalculada[[#This Row],[Materia seca reconstruida (%)]]/100)*10/INDEX(tblMetadatos[Valor],MATCH("biomass_sample_area_m2",tblMetadatos[Parámetro],0))</f>
        <v/>
      </c>
      <c r="T51" s="14">
        <f>tblMSCalculada[[#This Row],[Biomasa recalculada con materia seca registrada (kg MS/ha)]]-tblMSCalculada[[#This Row],[Biomasa informada en el libro histórico (kg MS/ha)]]</f>
        <v/>
      </c>
      <c r="U51" s="14">
        <f>tblMSCalculada[[#This Row],[Macollos en 30 cm (macollos/30 cm)]]*(100/30)*(100/INDEX(tblMetadatos[Valor],MATCH("row_spacing_cm",tblMetadatos[Parámetro],0)))</f>
        <v/>
      </c>
    </row>
    <row r="52">
      <c r="A52" s="6" t="inlineStr">
        <is>
          <t>dm_20250916_riego_m4_r3</t>
        </is>
      </c>
      <c r="B52" s="13">
        <f>INDEX(tblMSRegistrada[Fecha],MATCH(tblMSCalculada[[#This Row],[Identificador de observación]],tblMSRegistrada[Identificador de observación],0))</f>
        <v/>
      </c>
      <c r="C52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52" s="6">
        <f>INDEX(tblMSRegistrada[Sector hídrico],MATCH(tblMSCalculada[[#This Row],[Identificador de observación]],tblMSRegistrada[Identificador de observación],0))</f>
        <v/>
      </c>
      <c r="E52" s="6">
        <f>INDEX(tblMSRegistrada[Tratamiento],MATCH(tblMSCalculada[[#This Row],[Identificador de observación]],tblMSRegistrada[Identificador de observación],0))</f>
        <v/>
      </c>
      <c r="F52" s="6">
        <f>INDEX(tblMSRegistrada[Bloque],MATCH(tblMSCalculada[[#This Row],[Identificador de observación]],tblMSRegistrada[Identificador de observación],0))</f>
        <v/>
      </c>
      <c r="G52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52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52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52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52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52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52" s="14">
        <f>100*tblMSCalculada[[#This Row],[Peso seco (g)]]/tblMSCalculada[[#This Row],[Peso verde de la muestra (g)]]</f>
        <v/>
      </c>
      <c r="N52" s="14">
        <f>ABS(tblMSCalculada[[#This Row],[Materia seca registrada (%)]]-tblMSCalculada[[#This Row],[Materia seca reconstruida (%)]])</f>
        <v/>
      </c>
      <c r="O52" s="14">
        <f>tblMSCalculada[[#This Row],[Diferencia absoluta de materia seca (puntos porcentuales)]]/ABS(tblMSCalculada[[#This Row],[Materia seca registrada (%)]])</f>
        <v/>
      </c>
      <c r="P52" s="6">
        <f>AND(tblMSCalculada[[#This Row],[Diferencia absoluta de materia seca (puntos porcentuales)]]&gt;=5,tblMSCalculada[[#This Row],[Diferencia relativa de materia seca (proporción)]]&gt;=0.20)</f>
        <v/>
      </c>
      <c r="Q52" s="14" t="n">
        <v>6172</v>
      </c>
      <c r="R52" s="14">
        <f>tblMSCalculada[[#This Row],[Peso verde en un metro (g)]]*(tblMSCalculada[[#This Row],[Materia seca registrada (%)]]/100)*10/INDEX(tblMetadatos[Valor],MATCH("biomass_sample_area_m2",tblMetadatos[Parámetro],0))</f>
        <v/>
      </c>
      <c r="S52" s="14">
        <f>tblMSCalculada[[#This Row],[Peso verde en un metro (g)]]*(tblMSCalculada[[#This Row],[Materia seca reconstruida (%)]]/100)*10/INDEX(tblMetadatos[Valor],MATCH("biomass_sample_area_m2",tblMetadatos[Parámetro],0))</f>
        <v/>
      </c>
      <c r="T52" s="14">
        <f>tblMSCalculada[[#This Row],[Biomasa recalculada con materia seca registrada (kg MS/ha)]]-tblMSCalculada[[#This Row],[Biomasa informada en el libro histórico (kg MS/ha)]]</f>
        <v/>
      </c>
      <c r="U52" s="14">
        <f>tblMSCalculada[[#This Row],[Macollos en 30 cm (macollos/30 cm)]]*(100/30)*(100/INDEX(tblMetadatos[Valor],MATCH("row_spacing_cm",tblMetadatos[Parámetro],0)))</f>
        <v/>
      </c>
    </row>
    <row r="53">
      <c r="A53" s="6" t="inlineStr">
        <is>
          <t>dm_20250916_riego_m0_r3</t>
        </is>
      </c>
      <c r="B53" s="13">
        <f>INDEX(tblMSRegistrada[Fecha],MATCH(tblMSCalculada[[#This Row],[Identificador de observación]],tblMSRegistrada[Identificador de observación],0))</f>
        <v/>
      </c>
      <c r="C53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53" s="6">
        <f>INDEX(tblMSRegistrada[Sector hídrico],MATCH(tblMSCalculada[[#This Row],[Identificador de observación]],tblMSRegistrada[Identificador de observación],0))</f>
        <v/>
      </c>
      <c r="E53" s="6">
        <f>INDEX(tblMSRegistrada[Tratamiento],MATCH(tblMSCalculada[[#This Row],[Identificador de observación]],tblMSRegistrada[Identificador de observación],0))</f>
        <v/>
      </c>
      <c r="F53" s="6">
        <f>INDEX(tblMSRegistrada[Bloque],MATCH(tblMSCalculada[[#This Row],[Identificador de observación]],tblMSRegistrada[Identificador de observación],0))</f>
        <v/>
      </c>
      <c r="G53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53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53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53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53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53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53" s="14">
        <f>100*tblMSCalculada[[#This Row],[Peso seco (g)]]/tblMSCalculada[[#This Row],[Peso verde de la muestra (g)]]</f>
        <v/>
      </c>
      <c r="N53" s="14">
        <f>ABS(tblMSCalculada[[#This Row],[Materia seca registrada (%)]]-tblMSCalculada[[#This Row],[Materia seca reconstruida (%)]])</f>
        <v/>
      </c>
      <c r="O53" s="14">
        <f>tblMSCalculada[[#This Row],[Diferencia absoluta de materia seca (puntos porcentuales)]]/ABS(tblMSCalculada[[#This Row],[Materia seca registrada (%)]])</f>
        <v/>
      </c>
      <c r="P53" s="6">
        <f>AND(tblMSCalculada[[#This Row],[Diferencia absoluta de materia seca (puntos porcentuales)]]&gt;=5,tblMSCalculada[[#This Row],[Diferencia relativa de materia seca (proporción)]]&gt;=0.20)</f>
        <v/>
      </c>
      <c r="Q53" s="14" t="n">
        <v>4799</v>
      </c>
      <c r="R53" s="14">
        <f>tblMSCalculada[[#This Row],[Peso verde en un metro (g)]]*(tblMSCalculada[[#This Row],[Materia seca registrada (%)]]/100)*10/INDEX(tblMetadatos[Valor],MATCH("biomass_sample_area_m2",tblMetadatos[Parámetro],0))</f>
        <v/>
      </c>
      <c r="S53" s="14">
        <f>tblMSCalculada[[#This Row],[Peso verde en un metro (g)]]*(tblMSCalculada[[#This Row],[Materia seca reconstruida (%)]]/100)*10/INDEX(tblMetadatos[Valor],MATCH("biomass_sample_area_m2",tblMetadatos[Parámetro],0))</f>
        <v/>
      </c>
      <c r="T53" s="14">
        <f>tblMSCalculada[[#This Row],[Biomasa recalculada con materia seca registrada (kg MS/ha)]]-tblMSCalculada[[#This Row],[Biomasa informada en el libro histórico (kg MS/ha)]]</f>
        <v/>
      </c>
      <c r="U53" s="14">
        <f>tblMSCalculada[[#This Row],[Macollos en 30 cm (macollos/30 cm)]]*(100/30)*(100/INDEX(tblMetadatos[Valor],MATCH("row_spacing_cm",tblMetadatos[Parámetro],0)))</f>
        <v/>
      </c>
    </row>
    <row r="54">
      <c r="A54" s="6" t="inlineStr">
        <is>
          <t>dm_20250916_riego_m1_r3</t>
        </is>
      </c>
      <c r="B54" s="13">
        <f>INDEX(tblMSRegistrada[Fecha],MATCH(tblMSCalculada[[#This Row],[Identificador de observación]],tblMSRegistrada[Identificador de observación],0))</f>
        <v/>
      </c>
      <c r="C54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54" s="6">
        <f>INDEX(tblMSRegistrada[Sector hídrico],MATCH(tblMSCalculada[[#This Row],[Identificador de observación]],tblMSRegistrada[Identificador de observación],0))</f>
        <v/>
      </c>
      <c r="E54" s="6">
        <f>INDEX(tblMSRegistrada[Tratamiento],MATCH(tblMSCalculada[[#This Row],[Identificador de observación]],tblMSRegistrada[Identificador de observación],0))</f>
        <v/>
      </c>
      <c r="F54" s="6">
        <f>INDEX(tblMSRegistrada[Bloque],MATCH(tblMSCalculada[[#This Row],[Identificador de observación]],tblMSRegistrada[Identificador de observación],0))</f>
        <v/>
      </c>
      <c r="G54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54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54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54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54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54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54" s="14">
        <f>100*tblMSCalculada[[#This Row],[Peso seco (g)]]/tblMSCalculada[[#This Row],[Peso verde de la muestra (g)]]</f>
        <v/>
      </c>
      <c r="N54" s="14">
        <f>ABS(tblMSCalculada[[#This Row],[Materia seca registrada (%)]]-tblMSCalculada[[#This Row],[Materia seca reconstruida (%)]])</f>
        <v/>
      </c>
      <c r="O54" s="14">
        <f>tblMSCalculada[[#This Row],[Diferencia absoluta de materia seca (puntos porcentuales)]]/ABS(tblMSCalculada[[#This Row],[Materia seca registrada (%)]])</f>
        <v/>
      </c>
      <c r="P54" s="6">
        <f>AND(tblMSCalculada[[#This Row],[Diferencia absoluta de materia seca (puntos porcentuales)]]&gt;=5,tblMSCalculada[[#This Row],[Diferencia relativa de materia seca (proporción)]]&gt;=0.20)</f>
        <v/>
      </c>
      <c r="Q54" s="14" t="n">
        <v>7712</v>
      </c>
      <c r="R54" s="14">
        <f>tblMSCalculada[[#This Row],[Peso verde en un metro (g)]]*(tblMSCalculada[[#This Row],[Materia seca registrada (%)]]/100)*10/INDEX(tblMetadatos[Valor],MATCH("biomass_sample_area_m2",tblMetadatos[Parámetro],0))</f>
        <v/>
      </c>
      <c r="S54" s="14">
        <f>tblMSCalculada[[#This Row],[Peso verde en un metro (g)]]*(tblMSCalculada[[#This Row],[Materia seca reconstruida (%)]]/100)*10/INDEX(tblMetadatos[Valor],MATCH("biomass_sample_area_m2",tblMetadatos[Parámetro],0))</f>
        <v/>
      </c>
      <c r="T54" s="14">
        <f>tblMSCalculada[[#This Row],[Biomasa recalculada con materia seca registrada (kg MS/ha)]]-tblMSCalculada[[#This Row],[Biomasa informada en el libro histórico (kg MS/ha)]]</f>
        <v/>
      </c>
      <c r="U54" s="14">
        <f>tblMSCalculada[[#This Row],[Macollos en 30 cm (macollos/30 cm)]]*(100/30)*(100/INDEX(tblMetadatos[Valor],MATCH("row_spacing_cm",tblMetadatos[Parámetro],0)))</f>
        <v/>
      </c>
    </row>
    <row r="55">
      <c r="A55" s="6" t="inlineStr">
        <is>
          <t>dm_20250916_riego_m5_r3</t>
        </is>
      </c>
      <c r="B55" s="13">
        <f>INDEX(tblMSRegistrada[Fecha],MATCH(tblMSCalculada[[#This Row],[Identificador de observación]],tblMSRegistrada[Identificador de observación],0))</f>
        <v/>
      </c>
      <c r="C55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55" s="6">
        <f>INDEX(tblMSRegistrada[Sector hídrico],MATCH(tblMSCalculada[[#This Row],[Identificador de observación]],tblMSRegistrada[Identificador de observación],0))</f>
        <v/>
      </c>
      <c r="E55" s="6">
        <f>INDEX(tblMSRegistrada[Tratamiento],MATCH(tblMSCalculada[[#This Row],[Identificador de observación]],tblMSRegistrada[Identificador de observación],0))</f>
        <v/>
      </c>
      <c r="F55" s="6">
        <f>INDEX(tblMSRegistrada[Bloque],MATCH(tblMSCalculada[[#This Row],[Identificador de observación]],tblMSRegistrada[Identificador de observación],0))</f>
        <v/>
      </c>
      <c r="G55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55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55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55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55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55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55" s="14">
        <f>100*tblMSCalculada[[#This Row],[Peso seco (g)]]/tblMSCalculada[[#This Row],[Peso verde de la muestra (g)]]</f>
        <v/>
      </c>
      <c r="N55" s="14">
        <f>ABS(tblMSCalculada[[#This Row],[Materia seca registrada (%)]]-tblMSCalculada[[#This Row],[Materia seca reconstruida (%)]])</f>
        <v/>
      </c>
      <c r="O55" s="14">
        <f>tblMSCalculada[[#This Row],[Diferencia absoluta de materia seca (puntos porcentuales)]]/ABS(tblMSCalculada[[#This Row],[Materia seca registrada (%)]])</f>
        <v/>
      </c>
      <c r="P55" s="6">
        <f>AND(tblMSCalculada[[#This Row],[Diferencia absoluta de materia seca (puntos porcentuales)]]&gt;=5,tblMSCalculada[[#This Row],[Diferencia relativa de materia seca (proporción)]]&gt;=0.20)</f>
        <v/>
      </c>
      <c r="Q55" s="14" t="n">
        <v>8180</v>
      </c>
      <c r="R55" s="14">
        <f>tblMSCalculada[[#This Row],[Peso verde en un metro (g)]]*(tblMSCalculada[[#This Row],[Materia seca registrada (%)]]/100)*10/INDEX(tblMetadatos[Valor],MATCH("biomass_sample_area_m2",tblMetadatos[Parámetro],0))</f>
        <v/>
      </c>
      <c r="S55" s="14">
        <f>tblMSCalculada[[#This Row],[Peso verde en un metro (g)]]*(tblMSCalculada[[#This Row],[Materia seca reconstruida (%)]]/100)*10/INDEX(tblMetadatos[Valor],MATCH("biomass_sample_area_m2",tblMetadatos[Parámetro],0))</f>
        <v/>
      </c>
      <c r="T55" s="14">
        <f>tblMSCalculada[[#This Row],[Biomasa recalculada con materia seca registrada (kg MS/ha)]]-tblMSCalculada[[#This Row],[Biomasa informada en el libro histórico (kg MS/ha)]]</f>
        <v/>
      </c>
      <c r="U55" s="14">
        <f>tblMSCalculada[[#This Row],[Macollos en 30 cm (macollos/30 cm)]]*(100/30)*(100/INDEX(tblMetadatos[Valor],MATCH("row_spacing_cm",tblMetadatos[Parámetro],0)))</f>
        <v/>
      </c>
    </row>
    <row r="56">
      <c r="A56" s="6" t="inlineStr">
        <is>
          <t>dm_20250916_riego_m2_r3</t>
        </is>
      </c>
      <c r="B56" s="13">
        <f>INDEX(tblMSRegistrada[Fecha],MATCH(tblMSCalculada[[#This Row],[Identificador de observación]],tblMSRegistrada[Identificador de observación],0))</f>
        <v/>
      </c>
      <c r="C56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56" s="6">
        <f>INDEX(tblMSRegistrada[Sector hídrico],MATCH(tblMSCalculada[[#This Row],[Identificador de observación]],tblMSRegistrada[Identificador de observación],0))</f>
        <v/>
      </c>
      <c r="E56" s="6">
        <f>INDEX(tblMSRegistrada[Tratamiento],MATCH(tblMSCalculada[[#This Row],[Identificador de observación]],tblMSRegistrada[Identificador de observación],0))</f>
        <v/>
      </c>
      <c r="F56" s="6">
        <f>INDEX(tblMSRegistrada[Bloque],MATCH(tblMSCalculada[[#This Row],[Identificador de observación]],tblMSRegistrada[Identificador de observación],0))</f>
        <v/>
      </c>
      <c r="G56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56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56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56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56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56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56" s="14">
        <f>100*tblMSCalculada[[#This Row],[Peso seco (g)]]/tblMSCalculada[[#This Row],[Peso verde de la muestra (g)]]</f>
        <v/>
      </c>
      <c r="N56" s="14">
        <f>ABS(tblMSCalculada[[#This Row],[Materia seca registrada (%)]]-tblMSCalculada[[#This Row],[Materia seca reconstruida (%)]])</f>
        <v/>
      </c>
      <c r="O56" s="14">
        <f>tblMSCalculada[[#This Row],[Diferencia absoluta de materia seca (puntos porcentuales)]]/ABS(tblMSCalculada[[#This Row],[Materia seca registrada (%)]])</f>
        <v/>
      </c>
      <c r="P56" s="6">
        <f>AND(tblMSCalculada[[#This Row],[Diferencia absoluta de materia seca (puntos porcentuales)]]&gt;=5,tblMSCalculada[[#This Row],[Diferencia relativa de materia seca (proporción)]]&gt;=0.20)</f>
        <v/>
      </c>
      <c r="Q56" s="14" t="n">
        <v>8112</v>
      </c>
      <c r="R56" s="14">
        <f>tblMSCalculada[[#This Row],[Peso verde en un metro (g)]]*(tblMSCalculada[[#This Row],[Materia seca registrada (%)]]/100)*10/INDEX(tblMetadatos[Valor],MATCH("biomass_sample_area_m2",tblMetadatos[Parámetro],0))</f>
        <v/>
      </c>
      <c r="S56" s="14">
        <f>tblMSCalculada[[#This Row],[Peso verde en un metro (g)]]*(tblMSCalculada[[#This Row],[Materia seca reconstruida (%)]]/100)*10/INDEX(tblMetadatos[Valor],MATCH("biomass_sample_area_m2",tblMetadatos[Parámetro],0))</f>
        <v/>
      </c>
      <c r="T56" s="14">
        <f>tblMSCalculada[[#This Row],[Biomasa recalculada con materia seca registrada (kg MS/ha)]]-tblMSCalculada[[#This Row],[Biomasa informada en el libro histórico (kg MS/ha)]]</f>
        <v/>
      </c>
      <c r="U56" s="14">
        <f>tblMSCalculada[[#This Row],[Macollos en 30 cm (macollos/30 cm)]]*(100/30)*(100/INDEX(tblMetadatos[Valor],MATCH("row_spacing_cm",tblMetadatos[Parámetro],0)))</f>
        <v/>
      </c>
    </row>
    <row r="57">
      <c r="A57" s="6" t="inlineStr">
        <is>
          <t>dm_20250916_riego_m1_r4</t>
        </is>
      </c>
      <c r="B57" s="13">
        <f>INDEX(tblMSRegistrada[Fecha],MATCH(tblMSCalculada[[#This Row],[Identificador de observación]],tblMSRegistrada[Identificador de observación],0))</f>
        <v/>
      </c>
      <c r="C57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57" s="6">
        <f>INDEX(tblMSRegistrada[Sector hídrico],MATCH(tblMSCalculada[[#This Row],[Identificador de observación]],tblMSRegistrada[Identificador de observación],0))</f>
        <v/>
      </c>
      <c r="E57" s="6">
        <f>INDEX(tblMSRegistrada[Tratamiento],MATCH(tblMSCalculada[[#This Row],[Identificador de observación]],tblMSRegistrada[Identificador de observación],0))</f>
        <v/>
      </c>
      <c r="F57" s="6">
        <f>INDEX(tblMSRegistrada[Bloque],MATCH(tblMSCalculada[[#This Row],[Identificador de observación]],tblMSRegistrada[Identificador de observación],0))</f>
        <v/>
      </c>
      <c r="G57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57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57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57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57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57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57" s="14">
        <f>100*tblMSCalculada[[#This Row],[Peso seco (g)]]/tblMSCalculada[[#This Row],[Peso verde de la muestra (g)]]</f>
        <v/>
      </c>
      <c r="N57" s="14">
        <f>ABS(tblMSCalculada[[#This Row],[Materia seca registrada (%)]]-tblMSCalculada[[#This Row],[Materia seca reconstruida (%)]])</f>
        <v/>
      </c>
      <c r="O57" s="14">
        <f>tblMSCalculada[[#This Row],[Diferencia absoluta de materia seca (puntos porcentuales)]]/ABS(tblMSCalculada[[#This Row],[Materia seca registrada (%)]])</f>
        <v/>
      </c>
      <c r="P57" s="6">
        <f>AND(tblMSCalculada[[#This Row],[Diferencia absoluta de materia seca (puntos porcentuales)]]&gt;=5,tblMSCalculada[[#This Row],[Diferencia relativa de materia seca (proporción)]]&gt;=0.20)</f>
        <v/>
      </c>
      <c r="Q57" s="14" t="n">
        <v>6397</v>
      </c>
      <c r="R57" s="14">
        <f>tblMSCalculada[[#This Row],[Peso verde en un metro (g)]]*(tblMSCalculada[[#This Row],[Materia seca registrada (%)]]/100)*10/INDEX(tblMetadatos[Valor],MATCH("biomass_sample_area_m2",tblMetadatos[Parámetro],0))</f>
        <v/>
      </c>
      <c r="S57" s="14">
        <f>tblMSCalculada[[#This Row],[Peso verde en un metro (g)]]*(tblMSCalculada[[#This Row],[Materia seca reconstruida (%)]]/100)*10/INDEX(tblMetadatos[Valor],MATCH("biomass_sample_area_m2",tblMetadatos[Parámetro],0))</f>
        <v/>
      </c>
      <c r="T57" s="14">
        <f>tblMSCalculada[[#This Row],[Biomasa recalculada con materia seca registrada (kg MS/ha)]]-tblMSCalculada[[#This Row],[Biomasa informada en el libro histórico (kg MS/ha)]]</f>
        <v/>
      </c>
      <c r="U57" s="14">
        <f>tblMSCalculada[[#This Row],[Macollos en 30 cm (macollos/30 cm)]]*(100/30)*(100/INDEX(tblMetadatos[Valor],MATCH("row_spacing_cm",tblMetadatos[Parámetro],0)))</f>
        <v/>
      </c>
    </row>
    <row r="58">
      <c r="A58" s="6" t="inlineStr">
        <is>
          <t>dm_20250916_riego_m0_r4</t>
        </is>
      </c>
      <c r="B58" s="13">
        <f>INDEX(tblMSRegistrada[Fecha],MATCH(tblMSCalculada[[#This Row],[Identificador de observación]],tblMSRegistrada[Identificador de observación],0))</f>
        <v/>
      </c>
      <c r="C58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58" s="6">
        <f>INDEX(tblMSRegistrada[Sector hídrico],MATCH(tblMSCalculada[[#This Row],[Identificador de observación]],tblMSRegistrada[Identificador de observación],0))</f>
        <v/>
      </c>
      <c r="E58" s="6">
        <f>INDEX(tblMSRegistrada[Tratamiento],MATCH(tblMSCalculada[[#This Row],[Identificador de observación]],tblMSRegistrada[Identificador de observación],0))</f>
        <v/>
      </c>
      <c r="F58" s="6">
        <f>INDEX(tblMSRegistrada[Bloque],MATCH(tblMSCalculada[[#This Row],[Identificador de observación]],tblMSRegistrada[Identificador de observación],0))</f>
        <v/>
      </c>
      <c r="G58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58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58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58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58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58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58" s="14">
        <f>100*tblMSCalculada[[#This Row],[Peso seco (g)]]/tblMSCalculada[[#This Row],[Peso verde de la muestra (g)]]</f>
        <v/>
      </c>
      <c r="N58" s="14">
        <f>ABS(tblMSCalculada[[#This Row],[Materia seca registrada (%)]]-tblMSCalculada[[#This Row],[Materia seca reconstruida (%)]])</f>
        <v/>
      </c>
      <c r="O58" s="14">
        <f>tblMSCalculada[[#This Row],[Diferencia absoluta de materia seca (puntos porcentuales)]]/ABS(tblMSCalculada[[#This Row],[Materia seca registrada (%)]])</f>
        <v/>
      </c>
      <c r="P58" s="6">
        <f>AND(tblMSCalculada[[#This Row],[Diferencia absoluta de materia seca (puntos porcentuales)]]&gt;=5,tblMSCalculada[[#This Row],[Diferencia relativa de materia seca (proporción)]]&gt;=0.20)</f>
        <v/>
      </c>
      <c r="Q58" s="14" t="n">
        <v>4064</v>
      </c>
      <c r="R58" s="14">
        <f>tblMSCalculada[[#This Row],[Peso verde en un metro (g)]]*(tblMSCalculada[[#This Row],[Materia seca registrada (%)]]/100)*10/INDEX(tblMetadatos[Valor],MATCH("biomass_sample_area_m2",tblMetadatos[Parámetro],0))</f>
        <v/>
      </c>
      <c r="S58" s="14">
        <f>tblMSCalculada[[#This Row],[Peso verde en un metro (g)]]*(tblMSCalculada[[#This Row],[Materia seca reconstruida (%)]]/100)*10/INDEX(tblMetadatos[Valor],MATCH("biomass_sample_area_m2",tblMetadatos[Parámetro],0))</f>
        <v/>
      </c>
      <c r="T58" s="14">
        <f>tblMSCalculada[[#This Row],[Biomasa recalculada con materia seca registrada (kg MS/ha)]]-tblMSCalculada[[#This Row],[Biomasa informada en el libro histórico (kg MS/ha)]]</f>
        <v/>
      </c>
      <c r="U58" s="14">
        <f>tblMSCalculada[[#This Row],[Macollos en 30 cm (macollos/30 cm)]]*(100/30)*(100/INDEX(tblMetadatos[Valor],MATCH("row_spacing_cm",tblMetadatos[Parámetro],0)))</f>
        <v/>
      </c>
    </row>
    <row r="59">
      <c r="A59" s="6" t="inlineStr">
        <is>
          <t>dm_20250916_riego_m5_r4</t>
        </is>
      </c>
      <c r="B59" s="13">
        <f>INDEX(tblMSRegistrada[Fecha],MATCH(tblMSCalculada[[#This Row],[Identificador de observación]],tblMSRegistrada[Identificador de observación],0))</f>
        <v/>
      </c>
      <c r="C59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59" s="6">
        <f>INDEX(tblMSRegistrada[Sector hídrico],MATCH(tblMSCalculada[[#This Row],[Identificador de observación]],tblMSRegistrada[Identificador de observación],0))</f>
        <v/>
      </c>
      <c r="E59" s="6">
        <f>INDEX(tblMSRegistrada[Tratamiento],MATCH(tblMSCalculada[[#This Row],[Identificador de observación]],tblMSRegistrada[Identificador de observación],0))</f>
        <v/>
      </c>
      <c r="F59" s="6">
        <f>INDEX(tblMSRegistrada[Bloque],MATCH(tblMSCalculada[[#This Row],[Identificador de observación]],tblMSRegistrada[Identificador de observación],0))</f>
        <v/>
      </c>
      <c r="G59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59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59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59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59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59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59" s="14">
        <f>100*tblMSCalculada[[#This Row],[Peso seco (g)]]/tblMSCalculada[[#This Row],[Peso verde de la muestra (g)]]</f>
        <v/>
      </c>
      <c r="N59" s="14">
        <f>ABS(tblMSCalculada[[#This Row],[Materia seca registrada (%)]]-tblMSCalculada[[#This Row],[Materia seca reconstruida (%)]])</f>
        <v/>
      </c>
      <c r="O59" s="14">
        <f>tblMSCalculada[[#This Row],[Diferencia absoluta de materia seca (puntos porcentuales)]]/ABS(tblMSCalculada[[#This Row],[Materia seca registrada (%)]])</f>
        <v/>
      </c>
      <c r="P59" s="6">
        <f>AND(tblMSCalculada[[#This Row],[Diferencia absoluta de materia seca (puntos porcentuales)]]&gt;=5,tblMSCalculada[[#This Row],[Diferencia relativa de materia seca (proporción)]]&gt;=0.20)</f>
        <v/>
      </c>
      <c r="Q59" s="14" t="n">
        <v>5637</v>
      </c>
      <c r="R59" s="14">
        <f>tblMSCalculada[[#This Row],[Peso verde en un metro (g)]]*(tblMSCalculada[[#This Row],[Materia seca registrada (%)]]/100)*10/INDEX(tblMetadatos[Valor],MATCH("biomass_sample_area_m2",tblMetadatos[Parámetro],0))</f>
        <v/>
      </c>
      <c r="S59" s="14">
        <f>tblMSCalculada[[#This Row],[Peso verde en un metro (g)]]*(tblMSCalculada[[#This Row],[Materia seca reconstruida (%)]]/100)*10/INDEX(tblMetadatos[Valor],MATCH("biomass_sample_area_m2",tblMetadatos[Parámetro],0))</f>
        <v/>
      </c>
      <c r="T59" s="14">
        <f>tblMSCalculada[[#This Row],[Biomasa recalculada con materia seca registrada (kg MS/ha)]]-tblMSCalculada[[#This Row],[Biomasa informada en el libro histórico (kg MS/ha)]]</f>
        <v/>
      </c>
      <c r="U59" s="14">
        <f>tblMSCalculada[[#This Row],[Macollos en 30 cm (macollos/30 cm)]]*(100/30)*(100/INDEX(tblMetadatos[Valor],MATCH("row_spacing_cm",tblMetadatos[Parámetro],0)))</f>
        <v/>
      </c>
    </row>
    <row r="60">
      <c r="A60" s="6" t="inlineStr">
        <is>
          <t>dm_20250916_riego_m4_r4</t>
        </is>
      </c>
      <c r="B60" s="13">
        <f>INDEX(tblMSRegistrada[Fecha],MATCH(tblMSCalculada[[#This Row],[Identificador de observación]],tblMSRegistrada[Identificador de observación],0))</f>
        <v/>
      </c>
      <c r="C60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60" s="6">
        <f>INDEX(tblMSRegistrada[Sector hídrico],MATCH(tblMSCalculada[[#This Row],[Identificador de observación]],tblMSRegistrada[Identificador de observación],0))</f>
        <v/>
      </c>
      <c r="E60" s="6">
        <f>INDEX(tblMSRegistrada[Tratamiento],MATCH(tblMSCalculada[[#This Row],[Identificador de observación]],tblMSRegistrada[Identificador de observación],0))</f>
        <v/>
      </c>
      <c r="F60" s="6">
        <f>INDEX(tblMSRegistrada[Bloque],MATCH(tblMSCalculada[[#This Row],[Identificador de observación]],tblMSRegistrada[Identificador de observación],0))</f>
        <v/>
      </c>
      <c r="G60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60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60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60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60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60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60" s="14">
        <f>100*tblMSCalculada[[#This Row],[Peso seco (g)]]/tblMSCalculada[[#This Row],[Peso verde de la muestra (g)]]</f>
        <v/>
      </c>
      <c r="N60" s="14">
        <f>ABS(tblMSCalculada[[#This Row],[Materia seca registrada (%)]]-tblMSCalculada[[#This Row],[Materia seca reconstruida (%)]])</f>
        <v/>
      </c>
      <c r="O60" s="14">
        <f>tblMSCalculada[[#This Row],[Diferencia absoluta de materia seca (puntos porcentuales)]]/ABS(tblMSCalculada[[#This Row],[Materia seca registrada (%)]])</f>
        <v/>
      </c>
      <c r="P60" s="6">
        <f>AND(tblMSCalculada[[#This Row],[Diferencia absoluta de materia seca (puntos porcentuales)]]&gt;=5,tblMSCalculada[[#This Row],[Diferencia relativa de materia seca (proporción)]]&gt;=0.20)</f>
        <v/>
      </c>
      <c r="Q60" s="14" t="n">
        <v>7506</v>
      </c>
      <c r="R60" s="14">
        <f>tblMSCalculada[[#This Row],[Peso verde en un metro (g)]]*(tblMSCalculada[[#This Row],[Materia seca registrada (%)]]/100)*10/INDEX(tblMetadatos[Valor],MATCH("biomass_sample_area_m2",tblMetadatos[Parámetro],0))</f>
        <v/>
      </c>
      <c r="S60" s="14">
        <f>tblMSCalculada[[#This Row],[Peso verde en un metro (g)]]*(tblMSCalculada[[#This Row],[Materia seca reconstruida (%)]]/100)*10/INDEX(tblMetadatos[Valor],MATCH("biomass_sample_area_m2",tblMetadatos[Parámetro],0))</f>
        <v/>
      </c>
      <c r="T60" s="14">
        <f>tblMSCalculada[[#This Row],[Biomasa recalculada con materia seca registrada (kg MS/ha)]]-tblMSCalculada[[#This Row],[Biomasa informada en el libro histórico (kg MS/ha)]]</f>
        <v/>
      </c>
      <c r="U60" s="14">
        <f>tblMSCalculada[[#This Row],[Macollos en 30 cm (macollos/30 cm)]]*(100/30)*(100/INDEX(tblMetadatos[Valor],MATCH("row_spacing_cm",tblMetadatos[Parámetro],0)))</f>
        <v/>
      </c>
    </row>
    <row r="61">
      <c r="A61" s="6" t="inlineStr">
        <is>
          <t>dm_20250916_riego_m3_r4</t>
        </is>
      </c>
      <c r="B61" s="13">
        <f>INDEX(tblMSRegistrada[Fecha],MATCH(tblMSCalculada[[#This Row],[Identificador de observación]],tblMSRegistrada[Identificador de observación],0))</f>
        <v/>
      </c>
      <c r="C61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61" s="6">
        <f>INDEX(tblMSRegistrada[Sector hídrico],MATCH(tblMSCalculada[[#This Row],[Identificador de observación]],tblMSRegistrada[Identificador de observación],0))</f>
        <v/>
      </c>
      <c r="E61" s="6">
        <f>INDEX(tblMSRegistrada[Tratamiento],MATCH(tblMSCalculada[[#This Row],[Identificador de observación]],tblMSRegistrada[Identificador de observación],0))</f>
        <v/>
      </c>
      <c r="F61" s="6">
        <f>INDEX(tblMSRegistrada[Bloque],MATCH(tblMSCalculada[[#This Row],[Identificador de observación]],tblMSRegistrada[Identificador de observación],0))</f>
        <v/>
      </c>
      <c r="G61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61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61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61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61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61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61" s="14">
        <f>100*tblMSCalculada[[#This Row],[Peso seco (g)]]/tblMSCalculada[[#This Row],[Peso verde de la muestra (g)]]</f>
        <v/>
      </c>
      <c r="N61" s="14">
        <f>ABS(tblMSCalculada[[#This Row],[Materia seca registrada (%)]]-tblMSCalculada[[#This Row],[Materia seca reconstruida (%)]])</f>
        <v/>
      </c>
      <c r="O61" s="14">
        <f>tblMSCalculada[[#This Row],[Diferencia absoluta de materia seca (puntos porcentuales)]]/ABS(tblMSCalculada[[#This Row],[Materia seca registrada (%)]])</f>
        <v/>
      </c>
      <c r="P61" s="6">
        <f>AND(tblMSCalculada[[#This Row],[Diferencia absoluta de materia seca (puntos porcentuales)]]&gt;=5,tblMSCalculada[[#This Row],[Diferencia relativa de materia seca (proporción)]]&gt;=0.20)</f>
        <v/>
      </c>
      <c r="Q61" s="14" t="n">
        <v>7528</v>
      </c>
      <c r="R61" s="14">
        <f>tblMSCalculada[[#This Row],[Peso verde en un metro (g)]]*(tblMSCalculada[[#This Row],[Materia seca registrada (%)]]/100)*10/INDEX(tblMetadatos[Valor],MATCH("biomass_sample_area_m2",tblMetadatos[Parámetro],0))</f>
        <v/>
      </c>
      <c r="S61" s="14">
        <f>tblMSCalculada[[#This Row],[Peso verde en un metro (g)]]*(tblMSCalculada[[#This Row],[Materia seca reconstruida (%)]]/100)*10/INDEX(tblMetadatos[Valor],MATCH("biomass_sample_area_m2",tblMetadatos[Parámetro],0))</f>
        <v/>
      </c>
      <c r="T61" s="14">
        <f>tblMSCalculada[[#This Row],[Biomasa recalculada con materia seca registrada (kg MS/ha)]]-tblMSCalculada[[#This Row],[Biomasa informada en el libro histórico (kg MS/ha)]]</f>
        <v/>
      </c>
      <c r="U61" s="14">
        <f>tblMSCalculada[[#This Row],[Macollos en 30 cm (macollos/30 cm)]]*(100/30)*(100/INDEX(tblMetadatos[Valor],MATCH("row_spacing_cm",tblMetadatos[Parámetro],0)))</f>
        <v/>
      </c>
    </row>
    <row r="62">
      <c r="A62" s="6" t="inlineStr">
        <is>
          <t>dm_20250916_riego_m2_r4</t>
        </is>
      </c>
      <c r="B62" s="13">
        <f>INDEX(tblMSRegistrada[Fecha],MATCH(tblMSCalculada[[#This Row],[Identificador de observación]],tblMSRegistrada[Identificador de observación],0))</f>
        <v/>
      </c>
      <c r="C62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62" s="6">
        <f>INDEX(tblMSRegistrada[Sector hídrico],MATCH(tblMSCalculada[[#This Row],[Identificador de observación]],tblMSRegistrada[Identificador de observación],0))</f>
        <v/>
      </c>
      <c r="E62" s="6">
        <f>INDEX(tblMSRegistrada[Tratamiento],MATCH(tblMSCalculada[[#This Row],[Identificador de observación]],tblMSRegistrada[Identificador de observación],0))</f>
        <v/>
      </c>
      <c r="F62" s="6">
        <f>INDEX(tblMSRegistrada[Bloque],MATCH(tblMSCalculada[[#This Row],[Identificador de observación]],tblMSRegistrada[Identificador de observación],0))</f>
        <v/>
      </c>
      <c r="G62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62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62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62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62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62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62" s="14">
        <f>100*tblMSCalculada[[#This Row],[Peso seco (g)]]/tblMSCalculada[[#This Row],[Peso verde de la muestra (g)]]</f>
        <v/>
      </c>
      <c r="N62" s="14">
        <f>ABS(tblMSCalculada[[#This Row],[Materia seca registrada (%)]]-tblMSCalculada[[#This Row],[Materia seca reconstruida (%)]])</f>
        <v/>
      </c>
      <c r="O62" s="14">
        <f>tblMSCalculada[[#This Row],[Diferencia absoluta de materia seca (puntos porcentuales)]]/ABS(tblMSCalculada[[#This Row],[Materia seca registrada (%)]])</f>
        <v/>
      </c>
      <c r="P62" s="6">
        <f>AND(tblMSCalculada[[#This Row],[Diferencia absoluta de materia seca (puntos porcentuales)]]&gt;=5,tblMSCalculada[[#This Row],[Diferencia relativa de materia seca (proporción)]]&gt;=0.20)</f>
        <v/>
      </c>
      <c r="Q62" s="14" t="n">
        <v>9258</v>
      </c>
      <c r="R62" s="14">
        <f>tblMSCalculada[[#This Row],[Peso verde en un metro (g)]]*(tblMSCalculada[[#This Row],[Materia seca registrada (%)]]/100)*10/INDEX(tblMetadatos[Valor],MATCH("biomass_sample_area_m2",tblMetadatos[Parámetro],0))</f>
        <v/>
      </c>
      <c r="S62" s="14">
        <f>tblMSCalculada[[#This Row],[Peso verde en un metro (g)]]*(tblMSCalculada[[#This Row],[Materia seca reconstruida (%)]]/100)*10/INDEX(tblMetadatos[Valor],MATCH("biomass_sample_area_m2",tblMetadatos[Parámetro],0))</f>
        <v/>
      </c>
      <c r="T62" s="14">
        <f>tblMSCalculada[[#This Row],[Biomasa recalculada con materia seca registrada (kg MS/ha)]]-tblMSCalculada[[#This Row],[Biomasa informada en el libro histórico (kg MS/ha)]]</f>
        <v/>
      </c>
      <c r="U62" s="14">
        <f>tblMSCalculada[[#This Row],[Macollos en 30 cm (macollos/30 cm)]]*(100/30)*(100/INDEX(tblMetadatos[Valor],MATCH("row_spacing_cm",tblMetadatos[Parámetro],0)))</f>
        <v/>
      </c>
    </row>
    <row r="63">
      <c r="A63" s="6" t="inlineStr">
        <is>
          <t>dm_20251020_secano_m0_r1</t>
        </is>
      </c>
      <c r="B63" s="13">
        <f>INDEX(tblMSRegistrada[Fecha],MATCH(tblMSCalculada[[#This Row],[Identificador de observación]],tblMSRegistrada[Identificador de observación],0))</f>
        <v/>
      </c>
      <c r="C63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63" s="6">
        <f>INDEX(tblMSRegistrada[Sector hídrico],MATCH(tblMSCalculada[[#This Row],[Identificador de observación]],tblMSRegistrada[Identificador de observación],0))</f>
        <v/>
      </c>
      <c r="E63" s="6">
        <f>INDEX(tblMSRegistrada[Tratamiento],MATCH(tblMSCalculada[[#This Row],[Identificador de observación]],tblMSRegistrada[Identificador de observación],0))</f>
        <v/>
      </c>
      <c r="F63" s="6">
        <f>INDEX(tblMSRegistrada[Bloque],MATCH(tblMSCalculada[[#This Row],[Identificador de observación]],tblMSRegistrada[Identificador de observación],0))</f>
        <v/>
      </c>
      <c r="G63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63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63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63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63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63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63" s="14">
        <f>100*tblMSCalculada[[#This Row],[Peso seco (g)]]/tblMSCalculada[[#This Row],[Peso verde de la muestra (g)]]</f>
        <v/>
      </c>
      <c r="N63" s="14">
        <f>ABS(tblMSCalculada[[#This Row],[Materia seca registrada (%)]]-tblMSCalculada[[#This Row],[Materia seca reconstruida (%)]])</f>
        <v/>
      </c>
      <c r="O63" s="14">
        <f>tblMSCalculada[[#This Row],[Diferencia absoluta de materia seca (puntos porcentuales)]]/ABS(tblMSCalculada[[#This Row],[Materia seca registrada (%)]])</f>
        <v/>
      </c>
      <c r="P63" s="6">
        <f>AND(tblMSCalculada[[#This Row],[Diferencia absoluta de materia seca (puntos porcentuales)]]&gt;=5,tblMSCalculada[[#This Row],[Diferencia relativa de materia seca (proporción)]]&gt;=0.20)</f>
        <v/>
      </c>
      <c r="Q63" s="14" t="n">
        <v>5948</v>
      </c>
      <c r="R63" s="14">
        <f>tblMSCalculada[[#This Row],[Peso verde en un metro (g)]]*(tblMSCalculada[[#This Row],[Materia seca registrada (%)]]/100)*10/INDEX(tblMetadatos[Valor],MATCH("biomass_sample_area_m2",tblMetadatos[Parámetro],0))</f>
        <v/>
      </c>
      <c r="S63" s="14">
        <f>tblMSCalculada[[#This Row],[Peso verde en un metro (g)]]*(tblMSCalculada[[#This Row],[Materia seca reconstruida (%)]]/100)*10/INDEX(tblMetadatos[Valor],MATCH("biomass_sample_area_m2",tblMetadatos[Parámetro],0))</f>
        <v/>
      </c>
      <c r="T63" s="14">
        <f>tblMSCalculada[[#This Row],[Biomasa recalculada con materia seca registrada (kg MS/ha)]]-tblMSCalculada[[#This Row],[Biomasa informada en el libro histórico (kg MS/ha)]]</f>
        <v/>
      </c>
      <c r="U63" s="14">
        <f>tblMSCalculada[[#This Row],[Macollos en 30 cm (macollos/30 cm)]]*(100/30)*(100/INDEX(tblMetadatos[Valor],MATCH("row_spacing_cm",tblMetadatos[Parámetro],0)))</f>
        <v/>
      </c>
    </row>
    <row r="64">
      <c r="A64" s="6" t="inlineStr">
        <is>
          <t>dm_20251020_secano_m1_r1</t>
        </is>
      </c>
      <c r="B64" s="13">
        <f>INDEX(tblMSRegistrada[Fecha],MATCH(tblMSCalculada[[#This Row],[Identificador de observación]],tblMSRegistrada[Identificador de observación],0))</f>
        <v/>
      </c>
      <c r="C64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64" s="6">
        <f>INDEX(tblMSRegistrada[Sector hídrico],MATCH(tblMSCalculada[[#This Row],[Identificador de observación]],tblMSRegistrada[Identificador de observación],0))</f>
        <v/>
      </c>
      <c r="E64" s="6">
        <f>INDEX(tblMSRegistrada[Tratamiento],MATCH(tblMSCalculada[[#This Row],[Identificador de observación]],tblMSRegistrada[Identificador de observación],0))</f>
        <v/>
      </c>
      <c r="F64" s="6">
        <f>INDEX(tblMSRegistrada[Bloque],MATCH(tblMSCalculada[[#This Row],[Identificador de observación]],tblMSRegistrada[Identificador de observación],0))</f>
        <v/>
      </c>
      <c r="G64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64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64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64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64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64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64" s="14">
        <f>100*tblMSCalculada[[#This Row],[Peso seco (g)]]/tblMSCalculada[[#This Row],[Peso verde de la muestra (g)]]</f>
        <v/>
      </c>
      <c r="N64" s="14">
        <f>ABS(tblMSCalculada[[#This Row],[Materia seca registrada (%)]]-tblMSCalculada[[#This Row],[Materia seca reconstruida (%)]])</f>
        <v/>
      </c>
      <c r="O64" s="14">
        <f>tblMSCalculada[[#This Row],[Diferencia absoluta de materia seca (puntos porcentuales)]]/ABS(tblMSCalculada[[#This Row],[Materia seca registrada (%)]])</f>
        <v/>
      </c>
      <c r="P64" s="6">
        <f>AND(tblMSCalculada[[#This Row],[Diferencia absoluta de materia seca (puntos porcentuales)]]&gt;=5,tblMSCalculada[[#This Row],[Diferencia relativa de materia seca (proporción)]]&gt;=0.20)</f>
        <v/>
      </c>
      <c r="Q64" s="14" t="n">
        <v>15329</v>
      </c>
      <c r="R64" s="14">
        <f>tblMSCalculada[[#This Row],[Peso verde en un metro (g)]]*(tblMSCalculada[[#This Row],[Materia seca registrada (%)]]/100)*10/INDEX(tblMetadatos[Valor],MATCH("biomass_sample_area_m2",tblMetadatos[Parámetro],0))</f>
        <v/>
      </c>
      <c r="S64" s="14">
        <f>tblMSCalculada[[#This Row],[Peso verde en un metro (g)]]*(tblMSCalculada[[#This Row],[Materia seca reconstruida (%)]]/100)*10/INDEX(tblMetadatos[Valor],MATCH("biomass_sample_area_m2",tblMetadatos[Parámetro],0))</f>
        <v/>
      </c>
      <c r="T64" s="14">
        <f>tblMSCalculada[[#This Row],[Biomasa recalculada con materia seca registrada (kg MS/ha)]]-tblMSCalculada[[#This Row],[Biomasa informada en el libro histórico (kg MS/ha)]]</f>
        <v/>
      </c>
      <c r="U64" s="14">
        <f>tblMSCalculada[[#This Row],[Macollos en 30 cm (macollos/30 cm)]]*(100/30)*(100/INDEX(tblMetadatos[Valor],MATCH("row_spacing_cm",tblMetadatos[Parámetro],0)))</f>
        <v/>
      </c>
    </row>
    <row r="65">
      <c r="A65" s="6" t="inlineStr">
        <is>
          <t>dm_20251020_secano_m2_r1</t>
        </is>
      </c>
      <c r="B65" s="13">
        <f>INDEX(tblMSRegistrada[Fecha],MATCH(tblMSCalculada[[#This Row],[Identificador de observación]],tblMSRegistrada[Identificador de observación],0))</f>
        <v/>
      </c>
      <c r="C65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65" s="6">
        <f>INDEX(tblMSRegistrada[Sector hídrico],MATCH(tblMSCalculada[[#This Row],[Identificador de observación]],tblMSRegistrada[Identificador de observación],0))</f>
        <v/>
      </c>
      <c r="E65" s="6">
        <f>INDEX(tblMSRegistrada[Tratamiento],MATCH(tblMSCalculada[[#This Row],[Identificador de observación]],tblMSRegistrada[Identificador de observación],0))</f>
        <v/>
      </c>
      <c r="F65" s="6">
        <f>INDEX(tblMSRegistrada[Bloque],MATCH(tblMSCalculada[[#This Row],[Identificador de observación]],tblMSRegistrada[Identificador de observación],0))</f>
        <v/>
      </c>
      <c r="G65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65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65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65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65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65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65" s="14">
        <f>100*tblMSCalculada[[#This Row],[Peso seco (g)]]/tblMSCalculada[[#This Row],[Peso verde de la muestra (g)]]</f>
        <v/>
      </c>
      <c r="N65" s="14">
        <f>ABS(tblMSCalculada[[#This Row],[Materia seca registrada (%)]]-tblMSCalculada[[#This Row],[Materia seca reconstruida (%)]])</f>
        <v/>
      </c>
      <c r="O65" s="14">
        <f>tblMSCalculada[[#This Row],[Diferencia absoluta de materia seca (puntos porcentuales)]]/ABS(tblMSCalculada[[#This Row],[Materia seca registrada (%)]])</f>
        <v/>
      </c>
      <c r="P65" s="6">
        <f>AND(tblMSCalculada[[#This Row],[Diferencia absoluta de materia seca (puntos porcentuales)]]&gt;=5,tblMSCalculada[[#This Row],[Diferencia relativa de materia seca (proporción)]]&gt;=0.20)</f>
        <v/>
      </c>
      <c r="Q65" s="14" t="n">
        <v>12704</v>
      </c>
      <c r="R65" s="14">
        <f>tblMSCalculada[[#This Row],[Peso verde en un metro (g)]]*(tblMSCalculada[[#This Row],[Materia seca registrada (%)]]/100)*10/INDEX(tblMetadatos[Valor],MATCH("biomass_sample_area_m2",tblMetadatos[Parámetro],0))</f>
        <v/>
      </c>
      <c r="S65" s="14">
        <f>tblMSCalculada[[#This Row],[Peso verde en un metro (g)]]*(tblMSCalculada[[#This Row],[Materia seca reconstruida (%)]]/100)*10/INDEX(tblMetadatos[Valor],MATCH("biomass_sample_area_m2",tblMetadatos[Parámetro],0))</f>
        <v/>
      </c>
      <c r="T65" s="14">
        <f>tblMSCalculada[[#This Row],[Biomasa recalculada con materia seca registrada (kg MS/ha)]]-tblMSCalculada[[#This Row],[Biomasa informada en el libro histórico (kg MS/ha)]]</f>
        <v/>
      </c>
      <c r="U65" s="14">
        <f>tblMSCalculada[[#This Row],[Macollos en 30 cm (macollos/30 cm)]]*(100/30)*(100/INDEX(tblMetadatos[Valor],MATCH("row_spacing_cm",tblMetadatos[Parámetro],0)))</f>
        <v/>
      </c>
    </row>
    <row r="66">
      <c r="A66" s="6" t="inlineStr">
        <is>
          <t>dm_20251020_secano_m3_r1</t>
        </is>
      </c>
      <c r="B66" s="13">
        <f>INDEX(tblMSRegistrada[Fecha],MATCH(tblMSCalculada[[#This Row],[Identificador de observación]],tblMSRegistrada[Identificador de observación],0))</f>
        <v/>
      </c>
      <c r="C66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66" s="6">
        <f>INDEX(tblMSRegistrada[Sector hídrico],MATCH(tblMSCalculada[[#This Row],[Identificador de observación]],tblMSRegistrada[Identificador de observación],0))</f>
        <v/>
      </c>
      <c r="E66" s="6">
        <f>INDEX(tblMSRegistrada[Tratamiento],MATCH(tblMSCalculada[[#This Row],[Identificador de observación]],tblMSRegistrada[Identificador de observación],0))</f>
        <v/>
      </c>
      <c r="F66" s="6">
        <f>INDEX(tblMSRegistrada[Bloque],MATCH(tblMSCalculada[[#This Row],[Identificador de observación]],tblMSRegistrada[Identificador de observación],0))</f>
        <v/>
      </c>
      <c r="G66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66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66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66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66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66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66" s="14">
        <f>100*tblMSCalculada[[#This Row],[Peso seco (g)]]/tblMSCalculada[[#This Row],[Peso verde de la muestra (g)]]</f>
        <v/>
      </c>
      <c r="N66" s="14">
        <f>ABS(tblMSCalculada[[#This Row],[Materia seca registrada (%)]]-tblMSCalculada[[#This Row],[Materia seca reconstruida (%)]])</f>
        <v/>
      </c>
      <c r="O66" s="14">
        <f>tblMSCalculada[[#This Row],[Diferencia absoluta de materia seca (puntos porcentuales)]]/ABS(tblMSCalculada[[#This Row],[Materia seca registrada (%)]])</f>
        <v/>
      </c>
      <c r="P66" s="6">
        <f>AND(tblMSCalculada[[#This Row],[Diferencia absoluta de materia seca (puntos porcentuales)]]&gt;=5,tblMSCalculada[[#This Row],[Diferencia relativa de materia seca (proporción)]]&gt;=0.20)</f>
        <v/>
      </c>
      <c r="Q66" s="14" t="n">
        <v>11328</v>
      </c>
      <c r="R66" s="14">
        <f>tblMSCalculada[[#This Row],[Peso verde en un metro (g)]]*(tblMSCalculada[[#This Row],[Materia seca registrada (%)]]/100)*10/INDEX(tblMetadatos[Valor],MATCH("biomass_sample_area_m2",tblMetadatos[Parámetro],0))</f>
        <v/>
      </c>
      <c r="S66" s="14">
        <f>tblMSCalculada[[#This Row],[Peso verde en un metro (g)]]*(tblMSCalculada[[#This Row],[Materia seca reconstruida (%)]]/100)*10/INDEX(tblMetadatos[Valor],MATCH("biomass_sample_area_m2",tblMetadatos[Parámetro],0))</f>
        <v/>
      </c>
      <c r="T66" s="14">
        <f>tblMSCalculada[[#This Row],[Biomasa recalculada con materia seca registrada (kg MS/ha)]]-tblMSCalculada[[#This Row],[Biomasa informada en el libro histórico (kg MS/ha)]]</f>
        <v/>
      </c>
      <c r="U66" s="14">
        <f>tblMSCalculada[[#This Row],[Macollos en 30 cm (macollos/30 cm)]]*(100/30)*(100/INDEX(tblMetadatos[Valor],MATCH("row_spacing_cm",tblMetadatos[Parámetro],0)))</f>
        <v/>
      </c>
    </row>
    <row r="67">
      <c r="A67" s="6" t="inlineStr">
        <is>
          <t>dm_20251020_secano_m4_r1</t>
        </is>
      </c>
      <c r="B67" s="13">
        <f>INDEX(tblMSRegistrada[Fecha],MATCH(tblMSCalculada[[#This Row],[Identificador de observación]],tblMSRegistrada[Identificador de observación],0))</f>
        <v/>
      </c>
      <c r="C67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67" s="6">
        <f>INDEX(tblMSRegistrada[Sector hídrico],MATCH(tblMSCalculada[[#This Row],[Identificador de observación]],tblMSRegistrada[Identificador de observación],0))</f>
        <v/>
      </c>
      <c r="E67" s="6">
        <f>INDEX(tblMSRegistrada[Tratamiento],MATCH(tblMSCalculada[[#This Row],[Identificador de observación]],tblMSRegistrada[Identificador de observación],0))</f>
        <v/>
      </c>
      <c r="F67" s="6">
        <f>INDEX(tblMSRegistrada[Bloque],MATCH(tblMSCalculada[[#This Row],[Identificador de observación]],tblMSRegistrada[Identificador de observación],0))</f>
        <v/>
      </c>
      <c r="G67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67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67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67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67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67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67" s="14">
        <f>100*tblMSCalculada[[#This Row],[Peso seco (g)]]/tblMSCalculada[[#This Row],[Peso verde de la muestra (g)]]</f>
        <v/>
      </c>
      <c r="N67" s="14">
        <f>ABS(tblMSCalculada[[#This Row],[Materia seca registrada (%)]]-tblMSCalculada[[#This Row],[Materia seca reconstruida (%)]])</f>
        <v/>
      </c>
      <c r="O67" s="14">
        <f>tblMSCalculada[[#This Row],[Diferencia absoluta de materia seca (puntos porcentuales)]]/ABS(tblMSCalculada[[#This Row],[Materia seca registrada (%)]])</f>
        <v/>
      </c>
      <c r="P67" s="6">
        <f>AND(tblMSCalculada[[#This Row],[Diferencia absoluta de materia seca (puntos porcentuales)]]&gt;=5,tblMSCalculada[[#This Row],[Diferencia relativa de materia seca (proporción)]]&gt;=0.20)</f>
        <v/>
      </c>
      <c r="Q67" s="14" t="n">
        <v>9835</v>
      </c>
      <c r="R67" s="14">
        <f>tblMSCalculada[[#This Row],[Peso verde en un metro (g)]]*(tblMSCalculada[[#This Row],[Materia seca registrada (%)]]/100)*10/INDEX(tblMetadatos[Valor],MATCH("biomass_sample_area_m2",tblMetadatos[Parámetro],0))</f>
        <v/>
      </c>
      <c r="S67" s="14">
        <f>tblMSCalculada[[#This Row],[Peso verde en un metro (g)]]*(tblMSCalculada[[#This Row],[Materia seca reconstruida (%)]]/100)*10/INDEX(tblMetadatos[Valor],MATCH("biomass_sample_area_m2",tblMetadatos[Parámetro],0))</f>
        <v/>
      </c>
      <c r="T67" s="14">
        <f>tblMSCalculada[[#This Row],[Biomasa recalculada con materia seca registrada (kg MS/ha)]]-tblMSCalculada[[#This Row],[Biomasa informada en el libro histórico (kg MS/ha)]]</f>
        <v/>
      </c>
      <c r="U67" s="14">
        <f>tblMSCalculada[[#This Row],[Macollos en 30 cm (macollos/30 cm)]]*(100/30)*(100/INDEX(tblMetadatos[Valor],MATCH("row_spacing_cm",tblMetadatos[Parámetro],0)))</f>
        <v/>
      </c>
    </row>
    <row r="68">
      <c r="A68" s="6" t="inlineStr">
        <is>
          <t>dm_20251020_secano_m5_r1</t>
        </is>
      </c>
      <c r="B68" s="13">
        <f>INDEX(tblMSRegistrada[Fecha],MATCH(tblMSCalculada[[#This Row],[Identificador de observación]],tblMSRegistrada[Identificador de observación],0))</f>
        <v/>
      </c>
      <c r="C68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68" s="6">
        <f>INDEX(tblMSRegistrada[Sector hídrico],MATCH(tblMSCalculada[[#This Row],[Identificador de observación]],tblMSRegistrada[Identificador de observación],0))</f>
        <v/>
      </c>
      <c r="E68" s="6">
        <f>INDEX(tblMSRegistrada[Tratamiento],MATCH(tblMSCalculada[[#This Row],[Identificador de observación]],tblMSRegistrada[Identificador de observación],0))</f>
        <v/>
      </c>
      <c r="F68" s="6">
        <f>INDEX(tblMSRegistrada[Bloque],MATCH(tblMSCalculada[[#This Row],[Identificador de observación]],tblMSRegistrada[Identificador de observación],0))</f>
        <v/>
      </c>
      <c r="G68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68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68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68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68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68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68" s="14">
        <f>100*tblMSCalculada[[#This Row],[Peso seco (g)]]/tblMSCalculada[[#This Row],[Peso verde de la muestra (g)]]</f>
        <v/>
      </c>
      <c r="N68" s="14">
        <f>ABS(tblMSCalculada[[#This Row],[Materia seca registrada (%)]]-tblMSCalculada[[#This Row],[Materia seca reconstruida (%)]])</f>
        <v/>
      </c>
      <c r="O68" s="14">
        <f>tblMSCalculada[[#This Row],[Diferencia absoluta de materia seca (puntos porcentuales)]]/ABS(tblMSCalculada[[#This Row],[Materia seca registrada (%)]])</f>
        <v/>
      </c>
      <c r="P68" s="6">
        <f>AND(tblMSCalculada[[#This Row],[Diferencia absoluta de materia seca (puntos porcentuales)]]&gt;=5,tblMSCalculada[[#This Row],[Diferencia relativa de materia seca (proporción)]]&gt;=0.20)</f>
        <v/>
      </c>
      <c r="Q68" s="14" t="n">
        <v>10132</v>
      </c>
      <c r="R68" s="14">
        <f>tblMSCalculada[[#This Row],[Peso verde en un metro (g)]]*(tblMSCalculada[[#This Row],[Materia seca registrada (%)]]/100)*10/INDEX(tblMetadatos[Valor],MATCH("biomass_sample_area_m2",tblMetadatos[Parámetro],0))</f>
        <v/>
      </c>
      <c r="S68" s="14">
        <f>tblMSCalculada[[#This Row],[Peso verde en un metro (g)]]*(tblMSCalculada[[#This Row],[Materia seca reconstruida (%)]]/100)*10/INDEX(tblMetadatos[Valor],MATCH("biomass_sample_area_m2",tblMetadatos[Parámetro],0))</f>
        <v/>
      </c>
      <c r="T68" s="14">
        <f>tblMSCalculada[[#This Row],[Biomasa recalculada con materia seca registrada (kg MS/ha)]]-tblMSCalculada[[#This Row],[Biomasa informada en el libro histórico (kg MS/ha)]]</f>
        <v/>
      </c>
      <c r="U68" s="14">
        <f>tblMSCalculada[[#This Row],[Macollos en 30 cm (macollos/30 cm)]]*(100/30)*(100/INDEX(tblMetadatos[Valor],MATCH("row_spacing_cm",tblMetadatos[Parámetro],0)))</f>
        <v/>
      </c>
    </row>
    <row r="69">
      <c r="A69" s="6" t="inlineStr">
        <is>
          <t>dm_20251020_secano_m3_r2</t>
        </is>
      </c>
      <c r="B69" s="13">
        <f>INDEX(tblMSRegistrada[Fecha],MATCH(tblMSCalculada[[#This Row],[Identificador de observación]],tblMSRegistrada[Identificador de observación],0))</f>
        <v/>
      </c>
      <c r="C69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69" s="6">
        <f>INDEX(tblMSRegistrada[Sector hídrico],MATCH(tblMSCalculada[[#This Row],[Identificador de observación]],tblMSRegistrada[Identificador de observación],0))</f>
        <v/>
      </c>
      <c r="E69" s="6">
        <f>INDEX(tblMSRegistrada[Tratamiento],MATCH(tblMSCalculada[[#This Row],[Identificador de observación]],tblMSRegistrada[Identificador de observación],0))</f>
        <v/>
      </c>
      <c r="F69" s="6">
        <f>INDEX(tblMSRegistrada[Bloque],MATCH(tblMSCalculada[[#This Row],[Identificador de observación]],tblMSRegistrada[Identificador de observación],0))</f>
        <v/>
      </c>
      <c r="G69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69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69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69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69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69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69" s="14">
        <f>100*tblMSCalculada[[#This Row],[Peso seco (g)]]/tblMSCalculada[[#This Row],[Peso verde de la muestra (g)]]</f>
        <v/>
      </c>
      <c r="N69" s="14">
        <f>ABS(tblMSCalculada[[#This Row],[Materia seca registrada (%)]]-tblMSCalculada[[#This Row],[Materia seca reconstruida (%)]])</f>
        <v/>
      </c>
      <c r="O69" s="14">
        <f>tblMSCalculada[[#This Row],[Diferencia absoluta de materia seca (puntos porcentuales)]]/ABS(tblMSCalculada[[#This Row],[Materia seca registrada (%)]])</f>
        <v/>
      </c>
      <c r="P69" s="6">
        <f>AND(tblMSCalculada[[#This Row],[Diferencia absoluta de materia seca (puntos porcentuales)]]&gt;=5,tblMSCalculada[[#This Row],[Diferencia relativa de materia seca (proporción)]]&gt;=0.20)</f>
        <v/>
      </c>
      <c r="Q69" s="14" t="n">
        <v>15365</v>
      </c>
      <c r="R69" s="14">
        <f>tblMSCalculada[[#This Row],[Peso verde en un metro (g)]]*(tblMSCalculada[[#This Row],[Materia seca registrada (%)]]/100)*10/INDEX(tblMetadatos[Valor],MATCH("biomass_sample_area_m2",tblMetadatos[Parámetro],0))</f>
        <v/>
      </c>
      <c r="S69" s="14">
        <f>tblMSCalculada[[#This Row],[Peso verde en un metro (g)]]*(tblMSCalculada[[#This Row],[Materia seca reconstruida (%)]]/100)*10/INDEX(tblMetadatos[Valor],MATCH("biomass_sample_area_m2",tblMetadatos[Parámetro],0))</f>
        <v/>
      </c>
      <c r="T69" s="14">
        <f>tblMSCalculada[[#This Row],[Biomasa recalculada con materia seca registrada (kg MS/ha)]]-tblMSCalculada[[#This Row],[Biomasa informada en el libro histórico (kg MS/ha)]]</f>
        <v/>
      </c>
      <c r="U69" s="14">
        <f>tblMSCalculada[[#This Row],[Macollos en 30 cm (macollos/30 cm)]]*(100/30)*(100/INDEX(tblMetadatos[Valor],MATCH("row_spacing_cm",tblMetadatos[Parámetro],0)))</f>
        <v/>
      </c>
    </row>
    <row r="70">
      <c r="A70" s="6" t="inlineStr">
        <is>
          <t>dm_20251020_secano_m2_r2</t>
        </is>
      </c>
      <c r="B70" s="13">
        <f>INDEX(tblMSRegistrada[Fecha],MATCH(tblMSCalculada[[#This Row],[Identificador de observación]],tblMSRegistrada[Identificador de observación],0))</f>
        <v/>
      </c>
      <c r="C70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70" s="6">
        <f>INDEX(tblMSRegistrada[Sector hídrico],MATCH(tblMSCalculada[[#This Row],[Identificador de observación]],tblMSRegistrada[Identificador de observación],0))</f>
        <v/>
      </c>
      <c r="E70" s="6">
        <f>INDEX(tblMSRegistrada[Tratamiento],MATCH(tblMSCalculada[[#This Row],[Identificador de observación]],tblMSRegistrada[Identificador de observación],0))</f>
        <v/>
      </c>
      <c r="F70" s="6">
        <f>INDEX(tblMSRegistrada[Bloque],MATCH(tblMSCalculada[[#This Row],[Identificador de observación]],tblMSRegistrada[Identificador de observación],0))</f>
        <v/>
      </c>
      <c r="G70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70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70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70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70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70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70" s="14">
        <f>100*tblMSCalculada[[#This Row],[Peso seco (g)]]/tblMSCalculada[[#This Row],[Peso verde de la muestra (g)]]</f>
        <v/>
      </c>
      <c r="N70" s="14">
        <f>ABS(tblMSCalculada[[#This Row],[Materia seca registrada (%)]]-tblMSCalculada[[#This Row],[Materia seca reconstruida (%)]])</f>
        <v/>
      </c>
      <c r="O70" s="14">
        <f>tblMSCalculada[[#This Row],[Diferencia absoluta de materia seca (puntos porcentuales)]]/ABS(tblMSCalculada[[#This Row],[Materia seca registrada (%)]])</f>
        <v/>
      </c>
      <c r="P70" s="6">
        <f>AND(tblMSCalculada[[#This Row],[Diferencia absoluta de materia seca (puntos porcentuales)]]&gt;=5,tblMSCalculada[[#This Row],[Diferencia relativa de materia seca (proporción)]]&gt;=0.20)</f>
        <v/>
      </c>
      <c r="Q70" s="14" t="n">
        <v>16562</v>
      </c>
      <c r="R70" s="14">
        <f>tblMSCalculada[[#This Row],[Peso verde en un metro (g)]]*(tblMSCalculada[[#This Row],[Materia seca registrada (%)]]/100)*10/INDEX(tblMetadatos[Valor],MATCH("biomass_sample_area_m2",tblMetadatos[Parámetro],0))</f>
        <v/>
      </c>
      <c r="S70" s="14">
        <f>tblMSCalculada[[#This Row],[Peso verde en un metro (g)]]*(tblMSCalculada[[#This Row],[Materia seca reconstruida (%)]]/100)*10/INDEX(tblMetadatos[Valor],MATCH("biomass_sample_area_m2",tblMetadatos[Parámetro],0))</f>
        <v/>
      </c>
      <c r="T70" s="14">
        <f>tblMSCalculada[[#This Row],[Biomasa recalculada con materia seca registrada (kg MS/ha)]]-tblMSCalculada[[#This Row],[Biomasa informada en el libro histórico (kg MS/ha)]]</f>
        <v/>
      </c>
      <c r="U70" s="14">
        <f>tblMSCalculada[[#This Row],[Macollos en 30 cm (macollos/30 cm)]]*(100/30)*(100/INDEX(tblMetadatos[Valor],MATCH("row_spacing_cm",tblMetadatos[Parámetro],0)))</f>
        <v/>
      </c>
    </row>
    <row r="71">
      <c r="A71" s="6" t="inlineStr">
        <is>
          <t>dm_20251020_secano_m4_r2</t>
        </is>
      </c>
      <c r="B71" s="13">
        <f>INDEX(tblMSRegistrada[Fecha],MATCH(tblMSCalculada[[#This Row],[Identificador de observación]],tblMSRegistrada[Identificador de observación],0))</f>
        <v/>
      </c>
      <c r="C71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71" s="6">
        <f>INDEX(tblMSRegistrada[Sector hídrico],MATCH(tblMSCalculada[[#This Row],[Identificador de observación]],tblMSRegistrada[Identificador de observación],0))</f>
        <v/>
      </c>
      <c r="E71" s="6">
        <f>INDEX(tblMSRegistrada[Tratamiento],MATCH(tblMSCalculada[[#This Row],[Identificador de observación]],tblMSRegistrada[Identificador de observación],0))</f>
        <v/>
      </c>
      <c r="F71" s="6">
        <f>INDEX(tblMSRegistrada[Bloque],MATCH(tblMSCalculada[[#This Row],[Identificador de observación]],tblMSRegistrada[Identificador de observación],0))</f>
        <v/>
      </c>
      <c r="G71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71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71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71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71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71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71" s="14">
        <f>100*tblMSCalculada[[#This Row],[Peso seco (g)]]/tblMSCalculada[[#This Row],[Peso verde de la muestra (g)]]</f>
        <v/>
      </c>
      <c r="N71" s="14">
        <f>ABS(tblMSCalculada[[#This Row],[Materia seca registrada (%)]]-tblMSCalculada[[#This Row],[Materia seca reconstruida (%)]])</f>
        <v/>
      </c>
      <c r="O71" s="14">
        <f>tblMSCalculada[[#This Row],[Diferencia absoluta de materia seca (puntos porcentuales)]]/ABS(tblMSCalculada[[#This Row],[Materia seca registrada (%)]])</f>
        <v/>
      </c>
      <c r="P71" s="6">
        <f>AND(tblMSCalculada[[#This Row],[Diferencia absoluta de materia seca (puntos porcentuales)]]&gt;=5,tblMSCalculada[[#This Row],[Diferencia relativa de materia seca (proporción)]]&gt;=0.20)</f>
        <v/>
      </c>
      <c r="Q71" s="14" t="n">
        <v>13374</v>
      </c>
      <c r="R71" s="14">
        <f>tblMSCalculada[[#This Row],[Peso verde en un metro (g)]]*(tblMSCalculada[[#This Row],[Materia seca registrada (%)]]/100)*10/INDEX(tblMetadatos[Valor],MATCH("biomass_sample_area_m2",tblMetadatos[Parámetro],0))</f>
        <v/>
      </c>
      <c r="S71" s="14">
        <f>tblMSCalculada[[#This Row],[Peso verde en un metro (g)]]*(tblMSCalculada[[#This Row],[Materia seca reconstruida (%)]]/100)*10/INDEX(tblMetadatos[Valor],MATCH("biomass_sample_area_m2",tblMetadatos[Parámetro],0))</f>
        <v/>
      </c>
      <c r="T71" s="14">
        <f>tblMSCalculada[[#This Row],[Biomasa recalculada con materia seca registrada (kg MS/ha)]]-tblMSCalculada[[#This Row],[Biomasa informada en el libro histórico (kg MS/ha)]]</f>
        <v/>
      </c>
      <c r="U71" s="14">
        <f>tblMSCalculada[[#This Row],[Macollos en 30 cm (macollos/30 cm)]]*(100/30)*(100/INDEX(tblMetadatos[Valor],MATCH("row_spacing_cm",tblMetadatos[Parámetro],0)))</f>
        <v/>
      </c>
    </row>
    <row r="72">
      <c r="A72" s="6" t="inlineStr">
        <is>
          <t>dm_20251020_secano_m0_r2</t>
        </is>
      </c>
      <c r="B72" s="13">
        <f>INDEX(tblMSRegistrada[Fecha],MATCH(tblMSCalculada[[#This Row],[Identificador de observación]],tblMSRegistrada[Identificador de observación],0))</f>
        <v/>
      </c>
      <c r="C72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72" s="6">
        <f>INDEX(tblMSRegistrada[Sector hídrico],MATCH(tblMSCalculada[[#This Row],[Identificador de observación]],tblMSRegistrada[Identificador de observación],0))</f>
        <v/>
      </c>
      <c r="E72" s="6">
        <f>INDEX(tblMSRegistrada[Tratamiento],MATCH(tblMSCalculada[[#This Row],[Identificador de observación]],tblMSRegistrada[Identificador de observación],0))</f>
        <v/>
      </c>
      <c r="F72" s="6">
        <f>INDEX(tblMSRegistrada[Bloque],MATCH(tblMSCalculada[[#This Row],[Identificador de observación]],tblMSRegistrada[Identificador de observación],0))</f>
        <v/>
      </c>
      <c r="G72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72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72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72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72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72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72" s="14">
        <f>100*tblMSCalculada[[#This Row],[Peso seco (g)]]/tblMSCalculada[[#This Row],[Peso verde de la muestra (g)]]</f>
        <v/>
      </c>
      <c r="N72" s="14">
        <f>ABS(tblMSCalculada[[#This Row],[Materia seca registrada (%)]]-tblMSCalculada[[#This Row],[Materia seca reconstruida (%)]])</f>
        <v/>
      </c>
      <c r="O72" s="14">
        <f>tblMSCalculada[[#This Row],[Diferencia absoluta de materia seca (puntos porcentuales)]]/ABS(tblMSCalculada[[#This Row],[Materia seca registrada (%)]])</f>
        <v/>
      </c>
      <c r="P72" s="6">
        <f>AND(tblMSCalculada[[#This Row],[Diferencia absoluta de materia seca (puntos porcentuales)]]&gt;=5,tblMSCalculada[[#This Row],[Diferencia relativa de materia seca (proporción)]]&gt;=0.20)</f>
        <v/>
      </c>
      <c r="Q72" s="14" t="n">
        <v>7668</v>
      </c>
      <c r="R72" s="14">
        <f>tblMSCalculada[[#This Row],[Peso verde en un metro (g)]]*(tblMSCalculada[[#This Row],[Materia seca registrada (%)]]/100)*10/INDEX(tblMetadatos[Valor],MATCH("biomass_sample_area_m2",tblMetadatos[Parámetro],0))</f>
        <v/>
      </c>
      <c r="S72" s="14">
        <f>tblMSCalculada[[#This Row],[Peso verde en un metro (g)]]*(tblMSCalculada[[#This Row],[Materia seca reconstruida (%)]]/100)*10/INDEX(tblMetadatos[Valor],MATCH("biomass_sample_area_m2",tblMetadatos[Parámetro],0))</f>
        <v/>
      </c>
      <c r="T72" s="14">
        <f>tblMSCalculada[[#This Row],[Biomasa recalculada con materia seca registrada (kg MS/ha)]]-tblMSCalculada[[#This Row],[Biomasa informada en el libro histórico (kg MS/ha)]]</f>
        <v/>
      </c>
      <c r="U72" s="14">
        <f>tblMSCalculada[[#This Row],[Macollos en 30 cm (macollos/30 cm)]]*(100/30)*(100/INDEX(tblMetadatos[Valor],MATCH("row_spacing_cm",tblMetadatos[Parámetro],0)))</f>
        <v/>
      </c>
    </row>
    <row r="73">
      <c r="A73" s="6" t="inlineStr">
        <is>
          <t>dm_20251020_secano_m1_r2</t>
        </is>
      </c>
      <c r="B73" s="13">
        <f>INDEX(tblMSRegistrada[Fecha],MATCH(tblMSCalculada[[#This Row],[Identificador de observación]],tblMSRegistrada[Identificador de observación],0))</f>
        <v/>
      </c>
      <c r="C73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73" s="6">
        <f>INDEX(tblMSRegistrada[Sector hídrico],MATCH(tblMSCalculada[[#This Row],[Identificador de observación]],tblMSRegistrada[Identificador de observación],0))</f>
        <v/>
      </c>
      <c r="E73" s="6">
        <f>INDEX(tblMSRegistrada[Tratamiento],MATCH(tblMSCalculada[[#This Row],[Identificador de observación]],tblMSRegistrada[Identificador de observación],0))</f>
        <v/>
      </c>
      <c r="F73" s="6">
        <f>INDEX(tblMSRegistrada[Bloque],MATCH(tblMSCalculada[[#This Row],[Identificador de observación]],tblMSRegistrada[Identificador de observación],0))</f>
        <v/>
      </c>
      <c r="G73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73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73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73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73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73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73" s="14">
        <f>100*tblMSCalculada[[#This Row],[Peso seco (g)]]/tblMSCalculada[[#This Row],[Peso verde de la muestra (g)]]</f>
        <v/>
      </c>
      <c r="N73" s="14">
        <f>ABS(tblMSCalculada[[#This Row],[Materia seca registrada (%)]]-tblMSCalculada[[#This Row],[Materia seca reconstruida (%)]])</f>
        <v/>
      </c>
      <c r="O73" s="14">
        <f>tblMSCalculada[[#This Row],[Diferencia absoluta de materia seca (puntos porcentuales)]]/ABS(tblMSCalculada[[#This Row],[Materia seca registrada (%)]])</f>
        <v/>
      </c>
      <c r="P73" s="6">
        <f>AND(tblMSCalculada[[#This Row],[Diferencia absoluta de materia seca (puntos porcentuales)]]&gt;=5,tblMSCalculada[[#This Row],[Diferencia relativa de materia seca (proporción)]]&gt;=0.20)</f>
        <v/>
      </c>
      <c r="Q73" s="14" t="n">
        <v>13220</v>
      </c>
      <c r="R73" s="14">
        <f>tblMSCalculada[[#This Row],[Peso verde en un metro (g)]]*(tblMSCalculada[[#This Row],[Materia seca registrada (%)]]/100)*10/INDEX(tblMetadatos[Valor],MATCH("biomass_sample_area_m2",tblMetadatos[Parámetro],0))</f>
        <v/>
      </c>
      <c r="S73" s="14">
        <f>tblMSCalculada[[#This Row],[Peso verde en un metro (g)]]*(tblMSCalculada[[#This Row],[Materia seca reconstruida (%)]]/100)*10/INDEX(tblMetadatos[Valor],MATCH("biomass_sample_area_m2",tblMetadatos[Parámetro],0))</f>
        <v/>
      </c>
      <c r="T73" s="14">
        <f>tblMSCalculada[[#This Row],[Biomasa recalculada con materia seca registrada (kg MS/ha)]]-tblMSCalculada[[#This Row],[Biomasa informada en el libro histórico (kg MS/ha)]]</f>
        <v/>
      </c>
      <c r="U73" s="14">
        <f>tblMSCalculada[[#This Row],[Macollos en 30 cm (macollos/30 cm)]]*(100/30)*(100/INDEX(tblMetadatos[Valor],MATCH("row_spacing_cm",tblMetadatos[Parámetro],0)))</f>
        <v/>
      </c>
    </row>
    <row r="74">
      <c r="A74" s="6" t="inlineStr">
        <is>
          <t>dm_20251020_secano_m5_r2</t>
        </is>
      </c>
      <c r="B74" s="13">
        <f>INDEX(tblMSRegistrada[Fecha],MATCH(tblMSCalculada[[#This Row],[Identificador de observación]],tblMSRegistrada[Identificador de observación],0))</f>
        <v/>
      </c>
      <c r="C74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74" s="6">
        <f>INDEX(tblMSRegistrada[Sector hídrico],MATCH(tblMSCalculada[[#This Row],[Identificador de observación]],tblMSRegistrada[Identificador de observación],0))</f>
        <v/>
      </c>
      <c r="E74" s="6">
        <f>INDEX(tblMSRegistrada[Tratamiento],MATCH(tblMSCalculada[[#This Row],[Identificador de observación]],tblMSRegistrada[Identificador de observación],0))</f>
        <v/>
      </c>
      <c r="F74" s="6">
        <f>INDEX(tblMSRegistrada[Bloque],MATCH(tblMSCalculada[[#This Row],[Identificador de observación]],tblMSRegistrada[Identificador de observación],0))</f>
        <v/>
      </c>
      <c r="G74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74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74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74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74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74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74" s="14">
        <f>100*tblMSCalculada[[#This Row],[Peso seco (g)]]/tblMSCalculada[[#This Row],[Peso verde de la muestra (g)]]</f>
        <v/>
      </c>
      <c r="N74" s="14">
        <f>ABS(tblMSCalculada[[#This Row],[Materia seca registrada (%)]]-tblMSCalculada[[#This Row],[Materia seca reconstruida (%)]])</f>
        <v/>
      </c>
      <c r="O74" s="14">
        <f>tblMSCalculada[[#This Row],[Diferencia absoluta de materia seca (puntos porcentuales)]]/ABS(tblMSCalculada[[#This Row],[Materia seca registrada (%)]])</f>
        <v/>
      </c>
      <c r="P74" s="6">
        <f>AND(tblMSCalculada[[#This Row],[Diferencia absoluta de materia seca (puntos porcentuales)]]&gt;=5,tblMSCalculada[[#This Row],[Diferencia relativa de materia seca (proporción)]]&gt;=0.20)</f>
        <v/>
      </c>
      <c r="Q74" s="14" t="n">
        <v>9307</v>
      </c>
      <c r="R74" s="14">
        <f>tblMSCalculada[[#This Row],[Peso verde en un metro (g)]]*(tblMSCalculada[[#This Row],[Materia seca registrada (%)]]/100)*10/INDEX(tblMetadatos[Valor],MATCH("biomass_sample_area_m2",tblMetadatos[Parámetro],0))</f>
        <v/>
      </c>
      <c r="S74" s="14">
        <f>tblMSCalculada[[#This Row],[Peso verde en un metro (g)]]*(tblMSCalculada[[#This Row],[Materia seca reconstruida (%)]]/100)*10/INDEX(tblMetadatos[Valor],MATCH("biomass_sample_area_m2",tblMetadatos[Parámetro],0))</f>
        <v/>
      </c>
      <c r="T74" s="14">
        <f>tblMSCalculada[[#This Row],[Biomasa recalculada con materia seca registrada (kg MS/ha)]]-tblMSCalculada[[#This Row],[Biomasa informada en el libro histórico (kg MS/ha)]]</f>
        <v/>
      </c>
      <c r="U74" s="14">
        <f>tblMSCalculada[[#This Row],[Macollos en 30 cm (macollos/30 cm)]]*(100/30)*(100/INDEX(tblMetadatos[Valor],MATCH("row_spacing_cm",tblMetadatos[Parámetro],0)))</f>
        <v/>
      </c>
    </row>
    <row r="75">
      <c r="A75" s="6" t="inlineStr">
        <is>
          <t>dm_20251020_secano_m3_r3</t>
        </is>
      </c>
      <c r="B75" s="13">
        <f>INDEX(tblMSRegistrada[Fecha],MATCH(tblMSCalculada[[#This Row],[Identificador de observación]],tblMSRegistrada[Identificador de observación],0))</f>
        <v/>
      </c>
      <c r="C75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75" s="6">
        <f>INDEX(tblMSRegistrada[Sector hídrico],MATCH(tblMSCalculada[[#This Row],[Identificador de observación]],tblMSRegistrada[Identificador de observación],0))</f>
        <v/>
      </c>
      <c r="E75" s="6">
        <f>INDEX(tblMSRegistrada[Tratamiento],MATCH(tblMSCalculada[[#This Row],[Identificador de observación]],tblMSRegistrada[Identificador de observación],0))</f>
        <v/>
      </c>
      <c r="F75" s="6">
        <f>INDEX(tblMSRegistrada[Bloque],MATCH(tblMSCalculada[[#This Row],[Identificador de observación]],tblMSRegistrada[Identificador de observación],0))</f>
        <v/>
      </c>
      <c r="G75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75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75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75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75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75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75" s="14">
        <f>100*tblMSCalculada[[#This Row],[Peso seco (g)]]/tblMSCalculada[[#This Row],[Peso verde de la muestra (g)]]</f>
        <v/>
      </c>
      <c r="N75" s="14">
        <f>ABS(tblMSCalculada[[#This Row],[Materia seca registrada (%)]]-tblMSCalculada[[#This Row],[Materia seca reconstruida (%)]])</f>
        <v/>
      </c>
      <c r="O75" s="14">
        <f>tblMSCalculada[[#This Row],[Diferencia absoluta de materia seca (puntos porcentuales)]]/ABS(tblMSCalculada[[#This Row],[Materia seca registrada (%)]])</f>
        <v/>
      </c>
      <c r="P75" s="6">
        <f>AND(tblMSCalculada[[#This Row],[Diferencia absoluta de materia seca (puntos porcentuales)]]&gt;=5,tblMSCalculada[[#This Row],[Diferencia relativa de materia seca (proporción)]]&gt;=0.20)</f>
        <v/>
      </c>
      <c r="Q75" s="14" t="n">
        <v>11039</v>
      </c>
      <c r="R75" s="14">
        <f>tblMSCalculada[[#This Row],[Peso verde en un metro (g)]]*(tblMSCalculada[[#This Row],[Materia seca registrada (%)]]/100)*10/INDEX(tblMetadatos[Valor],MATCH("biomass_sample_area_m2",tblMetadatos[Parámetro],0))</f>
        <v/>
      </c>
      <c r="S75" s="14">
        <f>tblMSCalculada[[#This Row],[Peso verde en un metro (g)]]*(tblMSCalculada[[#This Row],[Materia seca reconstruida (%)]]/100)*10/INDEX(tblMetadatos[Valor],MATCH("biomass_sample_area_m2",tblMetadatos[Parámetro],0))</f>
        <v/>
      </c>
      <c r="T75" s="14">
        <f>tblMSCalculada[[#This Row],[Biomasa recalculada con materia seca registrada (kg MS/ha)]]-tblMSCalculada[[#This Row],[Biomasa informada en el libro histórico (kg MS/ha)]]</f>
        <v/>
      </c>
      <c r="U75" s="14">
        <f>tblMSCalculada[[#This Row],[Macollos en 30 cm (macollos/30 cm)]]*(100/30)*(100/INDEX(tblMetadatos[Valor],MATCH("row_spacing_cm",tblMetadatos[Parámetro],0)))</f>
        <v/>
      </c>
    </row>
    <row r="76">
      <c r="A76" s="6" t="inlineStr">
        <is>
          <t>dm_20251020_secano_m4_r3</t>
        </is>
      </c>
      <c r="B76" s="13">
        <f>INDEX(tblMSRegistrada[Fecha],MATCH(tblMSCalculada[[#This Row],[Identificador de observación]],tblMSRegistrada[Identificador de observación],0))</f>
        <v/>
      </c>
      <c r="C76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76" s="6">
        <f>INDEX(tblMSRegistrada[Sector hídrico],MATCH(tblMSCalculada[[#This Row],[Identificador de observación]],tblMSRegistrada[Identificador de observación],0))</f>
        <v/>
      </c>
      <c r="E76" s="6">
        <f>INDEX(tblMSRegistrada[Tratamiento],MATCH(tblMSCalculada[[#This Row],[Identificador de observación]],tblMSRegistrada[Identificador de observación],0))</f>
        <v/>
      </c>
      <c r="F76" s="6">
        <f>INDEX(tblMSRegistrada[Bloque],MATCH(tblMSCalculada[[#This Row],[Identificador de observación]],tblMSRegistrada[Identificador de observación],0))</f>
        <v/>
      </c>
      <c r="G76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76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76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76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76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76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76" s="14">
        <f>100*tblMSCalculada[[#This Row],[Peso seco (g)]]/tblMSCalculada[[#This Row],[Peso verde de la muestra (g)]]</f>
        <v/>
      </c>
      <c r="N76" s="14">
        <f>ABS(tblMSCalculada[[#This Row],[Materia seca registrada (%)]]-tblMSCalculada[[#This Row],[Materia seca reconstruida (%)]])</f>
        <v/>
      </c>
      <c r="O76" s="14">
        <f>tblMSCalculada[[#This Row],[Diferencia absoluta de materia seca (puntos porcentuales)]]/ABS(tblMSCalculada[[#This Row],[Materia seca registrada (%)]])</f>
        <v/>
      </c>
      <c r="P76" s="6">
        <f>AND(tblMSCalculada[[#This Row],[Diferencia absoluta de materia seca (puntos porcentuales)]]&gt;=5,tblMSCalculada[[#This Row],[Diferencia relativa de materia seca (proporción)]]&gt;=0.20)</f>
        <v/>
      </c>
      <c r="Q76" s="14" t="n">
        <v>13530</v>
      </c>
      <c r="R76" s="14">
        <f>tblMSCalculada[[#This Row],[Peso verde en un metro (g)]]*(tblMSCalculada[[#This Row],[Materia seca registrada (%)]]/100)*10/INDEX(tblMetadatos[Valor],MATCH("biomass_sample_area_m2",tblMetadatos[Parámetro],0))</f>
        <v/>
      </c>
      <c r="S76" s="14">
        <f>tblMSCalculada[[#This Row],[Peso verde en un metro (g)]]*(tblMSCalculada[[#This Row],[Materia seca reconstruida (%)]]/100)*10/INDEX(tblMetadatos[Valor],MATCH("biomass_sample_area_m2",tblMetadatos[Parámetro],0))</f>
        <v/>
      </c>
      <c r="T76" s="14">
        <f>tblMSCalculada[[#This Row],[Biomasa recalculada con materia seca registrada (kg MS/ha)]]-tblMSCalculada[[#This Row],[Biomasa informada en el libro histórico (kg MS/ha)]]</f>
        <v/>
      </c>
      <c r="U76" s="14">
        <f>tblMSCalculada[[#This Row],[Macollos en 30 cm (macollos/30 cm)]]*(100/30)*(100/INDEX(tblMetadatos[Valor],MATCH("row_spacing_cm",tblMetadatos[Parámetro],0)))</f>
        <v/>
      </c>
    </row>
    <row r="77">
      <c r="A77" s="6" t="inlineStr">
        <is>
          <t>dm_20251020_secano_m0_r3</t>
        </is>
      </c>
      <c r="B77" s="13">
        <f>INDEX(tblMSRegistrada[Fecha],MATCH(tblMSCalculada[[#This Row],[Identificador de observación]],tblMSRegistrada[Identificador de observación],0))</f>
        <v/>
      </c>
      <c r="C77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77" s="6">
        <f>INDEX(tblMSRegistrada[Sector hídrico],MATCH(tblMSCalculada[[#This Row],[Identificador de observación]],tblMSRegistrada[Identificador de observación],0))</f>
        <v/>
      </c>
      <c r="E77" s="6">
        <f>INDEX(tblMSRegistrada[Tratamiento],MATCH(tblMSCalculada[[#This Row],[Identificador de observación]],tblMSRegistrada[Identificador de observación],0))</f>
        <v/>
      </c>
      <c r="F77" s="6">
        <f>INDEX(tblMSRegistrada[Bloque],MATCH(tblMSCalculada[[#This Row],[Identificador de observación]],tblMSRegistrada[Identificador de observación],0))</f>
        <v/>
      </c>
      <c r="G77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77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77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77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77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77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77" s="14">
        <f>100*tblMSCalculada[[#This Row],[Peso seco (g)]]/tblMSCalculada[[#This Row],[Peso verde de la muestra (g)]]</f>
        <v/>
      </c>
      <c r="N77" s="14">
        <f>ABS(tblMSCalculada[[#This Row],[Materia seca registrada (%)]]-tblMSCalculada[[#This Row],[Materia seca reconstruida (%)]])</f>
        <v/>
      </c>
      <c r="O77" s="14">
        <f>tblMSCalculada[[#This Row],[Diferencia absoluta de materia seca (puntos porcentuales)]]/ABS(tblMSCalculada[[#This Row],[Materia seca registrada (%)]])</f>
        <v/>
      </c>
      <c r="P77" s="6">
        <f>AND(tblMSCalculada[[#This Row],[Diferencia absoluta de materia seca (puntos porcentuales)]]&gt;=5,tblMSCalculada[[#This Row],[Diferencia relativa de materia seca (proporción)]]&gt;=0.20)</f>
        <v/>
      </c>
      <c r="Q77" s="14" t="n">
        <v>4942</v>
      </c>
      <c r="R77" s="14">
        <f>tblMSCalculada[[#This Row],[Peso verde en un metro (g)]]*(tblMSCalculada[[#This Row],[Materia seca registrada (%)]]/100)*10/INDEX(tblMetadatos[Valor],MATCH("biomass_sample_area_m2",tblMetadatos[Parámetro],0))</f>
        <v/>
      </c>
      <c r="S77" s="14">
        <f>tblMSCalculada[[#This Row],[Peso verde en un metro (g)]]*(tblMSCalculada[[#This Row],[Materia seca reconstruida (%)]]/100)*10/INDEX(tblMetadatos[Valor],MATCH("biomass_sample_area_m2",tblMetadatos[Parámetro],0))</f>
        <v/>
      </c>
      <c r="T77" s="14">
        <f>tblMSCalculada[[#This Row],[Biomasa recalculada con materia seca registrada (kg MS/ha)]]-tblMSCalculada[[#This Row],[Biomasa informada en el libro histórico (kg MS/ha)]]</f>
        <v/>
      </c>
      <c r="U77" s="14">
        <f>tblMSCalculada[[#This Row],[Macollos en 30 cm (macollos/30 cm)]]*(100/30)*(100/INDEX(tblMetadatos[Valor],MATCH("row_spacing_cm",tblMetadatos[Parámetro],0)))</f>
        <v/>
      </c>
    </row>
    <row r="78">
      <c r="A78" s="6" t="inlineStr">
        <is>
          <t>dm_20251020_secano_m1_r3</t>
        </is>
      </c>
      <c r="B78" s="13">
        <f>INDEX(tblMSRegistrada[Fecha],MATCH(tblMSCalculada[[#This Row],[Identificador de observación]],tblMSRegistrada[Identificador de observación],0))</f>
        <v/>
      </c>
      <c r="C78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78" s="6">
        <f>INDEX(tblMSRegistrada[Sector hídrico],MATCH(tblMSCalculada[[#This Row],[Identificador de observación]],tblMSRegistrada[Identificador de observación],0))</f>
        <v/>
      </c>
      <c r="E78" s="6">
        <f>INDEX(tblMSRegistrada[Tratamiento],MATCH(tblMSCalculada[[#This Row],[Identificador de observación]],tblMSRegistrada[Identificador de observación],0))</f>
        <v/>
      </c>
      <c r="F78" s="6">
        <f>INDEX(tblMSRegistrada[Bloque],MATCH(tblMSCalculada[[#This Row],[Identificador de observación]],tblMSRegistrada[Identificador de observación],0))</f>
        <v/>
      </c>
      <c r="G78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78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78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78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78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78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78" s="14">
        <f>100*tblMSCalculada[[#This Row],[Peso seco (g)]]/tblMSCalculada[[#This Row],[Peso verde de la muestra (g)]]</f>
        <v/>
      </c>
      <c r="N78" s="14">
        <f>ABS(tblMSCalculada[[#This Row],[Materia seca registrada (%)]]-tblMSCalculada[[#This Row],[Materia seca reconstruida (%)]])</f>
        <v/>
      </c>
      <c r="O78" s="14">
        <f>tblMSCalculada[[#This Row],[Diferencia absoluta de materia seca (puntos porcentuales)]]/ABS(tblMSCalculada[[#This Row],[Materia seca registrada (%)]])</f>
        <v/>
      </c>
      <c r="P78" s="6">
        <f>AND(tblMSCalculada[[#This Row],[Diferencia absoluta de materia seca (puntos porcentuales)]]&gt;=5,tblMSCalculada[[#This Row],[Diferencia relativa de materia seca (proporción)]]&gt;=0.20)</f>
        <v/>
      </c>
      <c r="Q78" s="14" t="n">
        <v>10325</v>
      </c>
      <c r="R78" s="14">
        <f>tblMSCalculada[[#This Row],[Peso verde en un metro (g)]]*(tblMSCalculada[[#This Row],[Materia seca registrada (%)]]/100)*10/INDEX(tblMetadatos[Valor],MATCH("biomass_sample_area_m2",tblMetadatos[Parámetro],0))</f>
        <v/>
      </c>
      <c r="S78" s="14">
        <f>tblMSCalculada[[#This Row],[Peso verde en un metro (g)]]*(tblMSCalculada[[#This Row],[Materia seca reconstruida (%)]]/100)*10/INDEX(tblMetadatos[Valor],MATCH("biomass_sample_area_m2",tblMetadatos[Parámetro],0))</f>
        <v/>
      </c>
      <c r="T78" s="14">
        <f>tblMSCalculada[[#This Row],[Biomasa recalculada con materia seca registrada (kg MS/ha)]]-tblMSCalculada[[#This Row],[Biomasa informada en el libro histórico (kg MS/ha)]]</f>
        <v/>
      </c>
      <c r="U78" s="14">
        <f>tblMSCalculada[[#This Row],[Macollos en 30 cm (macollos/30 cm)]]*(100/30)*(100/INDEX(tblMetadatos[Valor],MATCH("row_spacing_cm",tblMetadatos[Parámetro],0)))</f>
        <v/>
      </c>
    </row>
    <row r="79">
      <c r="A79" s="6" t="inlineStr">
        <is>
          <t>dm_20251020_secano_m5_r3</t>
        </is>
      </c>
      <c r="B79" s="13">
        <f>INDEX(tblMSRegistrada[Fecha],MATCH(tblMSCalculada[[#This Row],[Identificador de observación]],tblMSRegistrada[Identificador de observación],0))</f>
        <v/>
      </c>
      <c r="C79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79" s="6">
        <f>INDEX(tblMSRegistrada[Sector hídrico],MATCH(tblMSCalculada[[#This Row],[Identificador de observación]],tblMSRegistrada[Identificador de observación],0))</f>
        <v/>
      </c>
      <c r="E79" s="6">
        <f>INDEX(tblMSRegistrada[Tratamiento],MATCH(tblMSCalculada[[#This Row],[Identificador de observación]],tblMSRegistrada[Identificador de observación],0))</f>
        <v/>
      </c>
      <c r="F79" s="6">
        <f>INDEX(tblMSRegistrada[Bloque],MATCH(tblMSCalculada[[#This Row],[Identificador de observación]],tblMSRegistrada[Identificador de observación],0))</f>
        <v/>
      </c>
      <c r="G79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79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79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79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79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79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79" s="14">
        <f>100*tblMSCalculada[[#This Row],[Peso seco (g)]]/tblMSCalculada[[#This Row],[Peso verde de la muestra (g)]]</f>
        <v/>
      </c>
      <c r="N79" s="14">
        <f>ABS(tblMSCalculada[[#This Row],[Materia seca registrada (%)]]-tblMSCalculada[[#This Row],[Materia seca reconstruida (%)]])</f>
        <v/>
      </c>
      <c r="O79" s="14">
        <f>tblMSCalculada[[#This Row],[Diferencia absoluta de materia seca (puntos porcentuales)]]/ABS(tblMSCalculada[[#This Row],[Materia seca registrada (%)]])</f>
        <v/>
      </c>
      <c r="P79" s="6">
        <f>AND(tblMSCalculada[[#This Row],[Diferencia absoluta de materia seca (puntos porcentuales)]]&gt;=5,tblMSCalculada[[#This Row],[Diferencia relativa de materia seca (proporción)]]&gt;=0.20)</f>
        <v/>
      </c>
      <c r="Q79" s="14" t="n">
        <v>8352</v>
      </c>
      <c r="R79" s="14">
        <f>tblMSCalculada[[#This Row],[Peso verde en un metro (g)]]*(tblMSCalculada[[#This Row],[Materia seca registrada (%)]]/100)*10/INDEX(tblMetadatos[Valor],MATCH("biomass_sample_area_m2",tblMetadatos[Parámetro],0))</f>
        <v/>
      </c>
      <c r="S79" s="14">
        <f>tblMSCalculada[[#This Row],[Peso verde en un metro (g)]]*(tblMSCalculada[[#This Row],[Materia seca reconstruida (%)]]/100)*10/INDEX(tblMetadatos[Valor],MATCH("biomass_sample_area_m2",tblMetadatos[Parámetro],0))</f>
        <v/>
      </c>
      <c r="T79" s="14">
        <f>tblMSCalculada[[#This Row],[Biomasa recalculada con materia seca registrada (kg MS/ha)]]-tblMSCalculada[[#This Row],[Biomasa informada en el libro histórico (kg MS/ha)]]</f>
        <v/>
      </c>
      <c r="U79" s="14">
        <f>tblMSCalculada[[#This Row],[Macollos en 30 cm (macollos/30 cm)]]*(100/30)*(100/INDEX(tblMetadatos[Valor],MATCH("row_spacing_cm",tblMetadatos[Parámetro],0)))</f>
        <v/>
      </c>
    </row>
    <row r="80">
      <c r="A80" s="6" t="inlineStr">
        <is>
          <t>dm_20251020_secano_m2_r3</t>
        </is>
      </c>
      <c r="B80" s="13">
        <f>INDEX(tblMSRegistrada[Fecha],MATCH(tblMSCalculada[[#This Row],[Identificador de observación]],tblMSRegistrada[Identificador de observación],0))</f>
        <v/>
      </c>
      <c r="C80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80" s="6">
        <f>INDEX(tblMSRegistrada[Sector hídrico],MATCH(tblMSCalculada[[#This Row],[Identificador de observación]],tblMSRegistrada[Identificador de observación],0))</f>
        <v/>
      </c>
      <c r="E80" s="6">
        <f>INDEX(tblMSRegistrada[Tratamiento],MATCH(tblMSCalculada[[#This Row],[Identificador de observación]],tblMSRegistrada[Identificador de observación],0))</f>
        <v/>
      </c>
      <c r="F80" s="6">
        <f>INDEX(tblMSRegistrada[Bloque],MATCH(tblMSCalculada[[#This Row],[Identificador de observación]],tblMSRegistrada[Identificador de observación],0))</f>
        <v/>
      </c>
      <c r="G80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80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80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80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80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80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80" s="14">
        <f>100*tblMSCalculada[[#This Row],[Peso seco (g)]]/tblMSCalculada[[#This Row],[Peso verde de la muestra (g)]]</f>
        <v/>
      </c>
      <c r="N80" s="14">
        <f>ABS(tblMSCalculada[[#This Row],[Materia seca registrada (%)]]-tblMSCalculada[[#This Row],[Materia seca reconstruida (%)]])</f>
        <v/>
      </c>
      <c r="O80" s="14">
        <f>tblMSCalculada[[#This Row],[Diferencia absoluta de materia seca (puntos porcentuales)]]/ABS(tblMSCalculada[[#This Row],[Materia seca registrada (%)]])</f>
        <v/>
      </c>
      <c r="P80" s="6">
        <f>AND(tblMSCalculada[[#This Row],[Diferencia absoluta de materia seca (puntos porcentuales)]]&gt;=5,tblMSCalculada[[#This Row],[Diferencia relativa de materia seca (proporción)]]&gt;=0.20)</f>
        <v/>
      </c>
      <c r="Q80" s="14" t="n">
        <v>9892</v>
      </c>
      <c r="R80" s="14">
        <f>tblMSCalculada[[#This Row],[Peso verde en un metro (g)]]*(tblMSCalculada[[#This Row],[Materia seca registrada (%)]]/100)*10/INDEX(tblMetadatos[Valor],MATCH("biomass_sample_area_m2",tblMetadatos[Parámetro],0))</f>
        <v/>
      </c>
      <c r="S80" s="14">
        <f>tblMSCalculada[[#This Row],[Peso verde en un metro (g)]]*(tblMSCalculada[[#This Row],[Materia seca reconstruida (%)]]/100)*10/INDEX(tblMetadatos[Valor],MATCH("biomass_sample_area_m2",tblMetadatos[Parámetro],0))</f>
        <v/>
      </c>
      <c r="T80" s="14">
        <f>tblMSCalculada[[#This Row],[Biomasa recalculada con materia seca registrada (kg MS/ha)]]-tblMSCalculada[[#This Row],[Biomasa informada en el libro histórico (kg MS/ha)]]</f>
        <v/>
      </c>
      <c r="U80" s="14">
        <f>tblMSCalculada[[#This Row],[Macollos en 30 cm (macollos/30 cm)]]*(100/30)*(100/INDEX(tblMetadatos[Valor],MATCH("row_spacing_cm",tblMetadatos[Parámetro],0)))</f>
        <v/>
      </c>
    </row>
    <row r="81">
      <c r="A81" s="6" t="inlineStr">
        <is>
          <t>dm_20251020_secano_m1_r4</t>
        </is>
      </c>
      <c r="B81" s="13">
        <f>INDEX(tblMSRegistrada[Fecha],MATCH(tblMSCalculada[[#This Row],[Identificador de observación]],tblMSRegistrada[Identificador de observación],0))</f>
        <v/>
      </c>
      <c r="C81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81" s="6">
        <f>INDEX(tblMSRegistrada[Sector hídrico],MATCH(tblMSCalculada[[#This Row],[Identificador de observación]],tblMSRegistrada[Identificador de observación],0))</f>
        <v/>
      </c>
      <c r="E81" s="6">
        <f>INDEX(tblMSRegistrada[Tratamiento],MATCH(tblMSCalculada[[#This Row],[Identificador de observación]],tblMSRegistrada[Identificador de observación],0))</f>
        <v/>
      </c>
      <c r="F81" s="6">
        <f>INDEX(tblMSRegistrada[Bloque],MATCH(tblMSCalculada[[#This Row],[Identificador de observación]],tblMSRegistrada[Identificador de observación],0))</f>
        <v/>
      </c>
      <c r="G81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81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81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81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81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81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81" s="14">
        <f>100*tblMSCalculada[[#This Row],[Peso seco (g)]]/tblMSCalculada[[#This Row],[Peso verde de la muestra (g)]]</f>
        <v/>
      </c>
      <c r="N81" s="14">
        <f>ABS(tblMSCalculada[[#This Row],[Materia seca registrada (%)]]-tblMSCalculada[[#This Row],[Materia seca reconstruida (%)]])</f>
        <v/>
      </c>
      <c r="O81" s="14">
        <f>tblMSCalculada[[#This Row],[Diferencia absoluta de materia seca (puntos porcentuales)]]/ABS(tblMSCalculada[[#This Row],[Materia seca registrada (%)]])</f>
        <v/>
      </c>
      <c r="P81" s="6">
        <f>AND(tblMSCalculada[[#This Row],[Diferencia absoluta de materia seca (puntos porcentuales)]]&gt;=5,tblMSCalculada[[#This Row],[Diferencia relativa de materia seca (proporción)]]&gt;=0.20)</f>
        <v/>
      </c>
      <c r="Q81" s="14" t="n">
        <v>11541</v>
      </c>
      <c r="R81" s="14">
        <f>tblMSCalculada[[#This Row],[Peso verde en un metro (g)]]*(tblMSCalculada[[#This Row],[Materia seca registrada (%)]]/100)*10/INDEX(tblMetadatos[Valor],MATCH("biomass_sample_area_m2",tblMetadatos[Parámetro],0))</f>
        <v/>
      </c>
      <c r="S81" s="14">
        <f>tblMSCalculada[[#This Row],[Peso verde en un metro (g)]]*(tblMSCalculada[[#This Row],[Materia seca reconstruida (%)]]/100)*10/INDEX(tblMetadatos[Valor],MATCH("biomass_sample_area_m2",tblMetadatos[Parámetro],0))</f>
        <v/>
      </c>
      <c r="T81" s="14">
        <f>tblMSCalculada[[#This Row],[Biomasa recalculada con materia seca registrada (kg MS/ha)]]-tblMSCalculada[[#This Row],[Biomasa informada en el libro histórico (kg MS/ha)]]</f>
        <v/>
      </c>
      <c r="U81" s="14">
        <f>tblMSCalculada[[#This Row],[Macollos en 30 cm (macollos/30 cm)]]*(100/30)*(100/INDEX(tblMetadatos[Valor],MATCH("row_spacing_cm",tblMetadatos[Parámetro],0)))</f>
        <v/>
      </c>
    </row>
    <row r="82">
      <c r="A82" s="6" t="inlineStr">
        <is>
          <t>dm_20251020_secano_m0_r4</t>
        </is>
      </c>
      <c r="B82" s="13">
        <f>INDEX(tblMSRegistrada[Fecha],MATCH(tblMSCalculada[[#This Row],[Identificador de observación]],tblMSRegistrada[Identificador de observación],0))</f>
        <v/>
      </c>
      <c r="C82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82" s="6">
        <f>INDEX(tblMSRegistrada[Sector hídrico],MATCH(tblMSCalculada[[#This Row],[Identificador de observación]],tblMSRegistrada[Identificador de observación],0))</f>
        <v/>
      </c>
      <c r="E82" s="6">
        <f>INDEX(tblMSRegistrada[Tratamiento],MATCH(tblMSCalculada[[#This Row],[Identificador de observación]],tblMSRegistrada[Identificador de observación],0))</f>
        <v/>
      </c>
      <c r="F82" s="6">
        <f>INDEX(tblMSRegistrada[Bloque],MATCH(tblMSCalculada[[#This Row],[Identificador de observación]],tblMSRegistrada[Identificador de observación],0))</f>
        <v/>
      </c>
      <c r="G82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82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82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82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82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82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82" s="14">
        <f>100*tblMSCalculada[[#This Row],[Peso seco (g)]]/tblMSCalculada[[#This Row],[Peso verde de la muestra (g)]]</f>
        <v/>
      </c>
      <c r="N82" s="14">
        <f>ABS(tblMSCalculada[[#This Row],[Materia seca registrada (%)]]-tblMSCalculada[[#This Row],[Materia seca reconstruida (%)]])</f>
        <v/>
      </c>
      <c r="O82" s="14">
        <f>tblMSCalculada[[#This Row],[Diferencia absoluta de materia seca (puntos porcentuales)]]/ABS(tblMSCalculada[[#This Row],[Materia seca registrada (%)]])</f>
        <v/>
      </c>
      <c r="P82" s="6">
        <f>AND(tblMSCalculada[[#This Row],[Diferencia absoluta de materia seca (puntos porcentuales)]]&gt;=5,tblMSCalculada[[#This Row],[Diferencia relativa de materia seca (proporción)]]&gt;=0.20)</f>
        <v/>
      </c>
      <c r="Q82" s="14" t="n">
        <v>7862</v>
      </c>
      <c r="R82" s="14">
        <f>tblMSCalculada[[#This Row],[Peso verde en un metro (g)]]*(tblMSCalculada[[#This Row],[Materia seca registrada (%)]]/100)*10/INDEX(tblMetadatos[Valor],MATCH("biomass_sample_area_m2",tblMetadatos[Parámetro],0))</f>
        <v/>
      </c>
      <c r="S82" s="14">
        <f>tblMSCalculada[[#This Row],[Peso verde en un metro (g)]]*(tblMSCalculada[[#This Row],[Materia seca reconstruida (%)]]/100)*10/INDEX(tblMetadatos[Valor],MATCH("biomass_sample_area_m2",tblMetadatos[Parámetro],0))</f>
        <v/>
      </c>
      <c r="T82" s="14">
        <f>tblMSCalculada[[#This Row],[Biomasa recalculada con materia seca registrada (kg MS/ha)]]-tblMSCalculada[[#This Row],[Biomasa informada en el libro histórico (kg MS/ha)]]</f>
        <v/>
      </c>
      <c r="U82" s="14">
        <f>tblMSCalculada[[#This Row],[Macollos en 30 cm (macollos/30 cm)]]*(100/30)*(100/INDEX(tblMetadatos[Valor],MATCH("row_spacing_cm",tblMetadatos[Parámetro],0)))</f>
        <v/>
      </c>
    </row>
    <row r="83">
      <c r="A83" s="6" t="inlineStr">
        <is>
          <t>dm_20251020_secano_m5_r4</t>
        </is>
      </c>
      <c r="B83" s="13">
        <f>INDEX(tblMSRegistrada[Fecha],MATCH(tblMSCalculada[[#This Row],[Identificador de observación]],tblMSRegistrada[Identificador de observación],0))</f>
        <v/>
      </c>
      <c r="C83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83" s="6">
        <f>INDEX(tblMSRegistrada[Sector hídrico],MATCH(tblMSCalculada[[#This Row],[Identificador de observación]],tblMSRegistrada[Identificador de observación],0))</f>
        <v/>
      </c>
      <c r="E83" s="6">
        <f>INDEX(tblMSRegistrada[Tratamiento],MATCH(tblMSCalculada[[#This Row],[Identificador de observación]],tblMSRegistrada[Identificador de observación],0))</f>
        <v/>
      </c>
      <c r="F83" s="6">
        <f>INDEX(tblMSRegistrada[Bloque],MATCH(tblMSCalculada[[#This Row],[Identificador de observación]],tblMSRegistrada[Identificador de observación],0))</f>
        <v/>
      </c>
      <c r="G83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83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83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83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83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83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83" s="14">
        <f>100*tblMSCalculada[[#This Row],[Peso seco (g)]]/tblMSCalculada[[#This Row],[Peso verde de la muestra (g)]]</f>
        <v/>
      </c>
      <c r="N83" s="14">
        <f>ABS(tblMSCalculada[[#This Row],[Materia seca registrada (%)]]-tblMSCalculada[[#This Row],[Materia seca reconstruida (%)]])</f>
        <v/>
      </c>
      <c r="O83" s="14">
        <f>tblMSCalculada[[#This Row],[Diferencia absoluta de materia seca (puntos porcentuales)]]/ABS(tblMSCalculada[[#This Row],[Materia seca registrada (%)]])</f>
        <v/>
      </c>
      <c r="P83" s="6">
        <f>AND(tblMSCalculada[[#This Row],[Diferencia absoluta de materia seca (puntos porcentuales)]]&gt;=5,tblMSCalculada[[#This Row],[Diferencia relativa de materia seca (proporción)]]&gt;=0.20)</f>
        <v/>
      </c>
      <c r="Q83" s="14" t="n">
        <v>11374</v>
      </c>
      <c r="R83" s="14">
        <f>tblMSCalculada[[#This Row],[Peso verde en un metro (g)]]*(tblMSCalculada[[#This Row],[Materia seca registrada (%)]]/100)*10/INDEX(tblMetadatos[Valor],MATCH("biomass_sample_area_m2",tblMetadatos[Parámetro],0))</f>
        <v/>
      </c>
      <c r="S83" s="14">
        <f>tblMSCalculada[[#This Row],[Peso verde en un metro (g)]]*(tblMSCalculada[[#This Row],[Materia seca reconstruida (%)]]/100)*10/INDEX(tblMetadatos[Valor],MATCH("biomass_sample_area_m2",tblMetadatos[Parámetro],0))</f>
        <v/>
      </c>
      <c r="T83" s="14">
        <f>tblMSCalculada[[#This Row],[Biomasa recalculada con materia seca registrada (kg MS/ha)]]-tblMSCalculada[[#This Row],[Biomasa informada en el libro histórico (kg MS/ha)]]</f>
        <v/>
      </c>
      <c r="U83" s="14">
        <f>tblMSCalculada[[#This Row],[Macollos en 30 cm (macollos/30 cm)]]*(100/30)*(100/INDEX(tblMetadatos[Valor],MATCH("row_spacing_cm",tblMetadatos[Parámetro],0)))</f>
        <v/>
      </c>
    </row>
    <row r="84">
      <c r="A84" s="6" t="inlineStr">
        <is>
          <t>dm_20251020_secano_m4_r4</t>
        </is>
      </c>
      <c r="B84" s="13">
        <f>INDEX(tblMSRegistrada[Fecha],MATCH(tblMSCalculada[[#This Row],[Identificador de observación]],tblMSRegistrada[Identificador de observación],0))</f>
        <v/>
      </c>
      <c r="C84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84" s="6">
        <f>INDEX(tblMSRegistrada[Sector hídrico],MATCH(tblMSCalculada[[#This Row],[Identificador de observación]],tblMSRegistrada[Identificador de observación],0))</f>
        <v/>
      </c>
      <c r="E84" s="6">
        <f>INDEX(tblMSRegistrada[Tratamiento],MATCH(tblMSCalculada[[#This Row],[Identificador de observación]],tblMSRegistrada[Identificador de observación],0))</f>
        <v/>
      </c>
      <c r="F84" s="6">
        <f>INDEX(tblMSRegistrada[Bloque],MATCH(tblMSCalculada[[#This Row],[Identificador de observación]],tblMSRegistrada[Identificador de observación],0))</f>
        <v/>
      </c>
      <c r="G84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84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84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84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84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84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84" s="14">
        <f>100*tblMSCalculada[[#This Row],[Peso seco (g)]]/tblMSCalculada[[#This Row],[Peso verde de la muestra (g)]]</f>
        <v/>
      </c>
      <c r="N84" s="14">
        <f>ABS(tblMSCalculada[[#This Row],[Materia seca registrada (%)]]-tblMSCalculada[[#This Row],[Materia seca reconstruida (%)]])</f>
        <v/>
      </c>
      <c r="O84" s="14">
        <f>tblMSCalculada[[#This Row],[Diferencia absoluta de materia seca (puntos porcentuales)]]/ABS(tblMSCalculada[[#This Row],[Materia seca registrada (%)]])</f>
        <v/>
      </c>
      <c r="P84" s="6">
        <f>AND(tblMSCalculada[[#This Row],[Diferencia absoluta de materia seca (puntos porcentuales)]]&gt;=5,tblMSCalculada[[#This Row],[Diferencia relativa de materia seca (proporción)]]&gt;=0.20)</f>
        <v/>
      </c>
      <c r="Q84" s="14" t="n">
        <v>10903</v>
      </c>
      <c r="R84" s="14">
        <f>tblMSCalculada[[#This Row],[Peso verde en un metro (g)]]*(tblMSCalculada[[#This Row],[Materia seca registrada (%)]]/100)*10/INDEX(tblMetadatos[Valor],MATCH("biomass_sample_area_m2",tblMetadatos[Parámetro],0))</f>
        <v/>
      </c>
      <c r="S84" s="14">
        <f>tblMSCalculada[[#This Row],[Peso verde en un metro (g)]]*(tblMSCalculada[[#This Row],[Materia seca reconstruida (%)]]/100)*10/INDEX(tblMetadatos[Valor],MATCH("biomass_sample_area_m2",tblMetadatos[Parámetro],0))</f>
        <v/>
      </c>
      <c r="T84" s="14">
        <f>tblMSCalculada[[#This Row],[Biomasa recalculada con materia seca registrada (kg MS/ha)]]-tblMSCalculada[[#This Row],[Biomasa informada en el libro histórico (kg MS/ha)]]</f>
        <v/>
      </c>
      <c r="U84" s="14">
        <f>tblMSCalculada[[#This Row],[Macollos en 30 cm (macollos/30 cm)]]*(100/30)*(100/INDEX(tblMetadatos[Valor],MATCH("row_spacing_cm",tblMetadatos[Parámetro],0)))</f>
        <v/>
      </c>
    </row>
    <row r="85">
      <c r="A85" s="6" t="inlineStr">
        <is>
          <t>dm_20251020_secano_m3_r4</t>
        </is>
      </c>
      <c r="B85" s="13">
        <f>INDEX(tblMSRegistrada[Fecha],MATCH(tblMSCalculada[[#This Row],[Identificador de observación]],tblMSRegistrada[Identificador de observación],0))</f>
        <v/>
      </c>
      <c r="C85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85" s="6">
        <f>INDEX(tblMSRegistrada[Sector hídrico],MATCH(tblMSCalculada[[#This Row],[Identificador de observación]],tblMSRegistrada[Identificador de observación],0))</f>
        <v/>
      </c>
      <c r="E85" s="6">
        <f>INDEX(tblMSRegistrada[Tratamiento],MATCH(tblMSCalculada[[#This Row],[Identificador de observación]],tblMSRegistrada[Identificador de observación],0))</f>
        <v/>
      </c>
      <c r="F85" s="6">
        <f>INDEX(tblMSRegistrada[Bloque],MATCH(tblMSCalculada[[#This Row],[Identificador de observación]],tblMSRegistrada[Identificador de observación],0))</f>
        <v/>
      </c>
      <c r="G85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85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85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85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85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85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85" s="14">
        <f>100*tblMSCalculada[[#This Row],[Peso seco (g)]]/tblMSCalculada[[#This Row],[Peso verde de la muestra (g)]]</f>
        <v/>
      </c>
      <c r="N85" s="14">
        <f>ABS(tblMSCalculada[[#This Row],[Materia seca registrada (%)]]-tblMSCalculada[[#This Row],[Materia seca reconstruida (%)]])</f>
        <v/>
      </c>
      <c r="O85" s="14">
        <f>tblMSCalculada[[#This Row],[Diferencia absoluta de materia seca (puntos porcentuales)]]/ABS(tblMSCalculada[[#This Row],[Materia seca registrada (%)]])</f>
        <v/>
      </c>
      <c r="P85" s="6">
        <f>AND(tblMSCalculada[[#This Row],[Diferencia absoluta de materia seca (puntos porcentuales)]]&gt;=5,tblMSCalculada[[#This Row],[Diferencia relativa de materia seca (proporción)]]&gt;=0.20)</f>
        <v/>
      </c>
      <c r="Q85" s="14" t="n">
        <v>15689</v>
      </c>
      <c r="R85" s="14">
        <f>tblMSCalculada[[#This Row],[Peso verde en un metro (g)]]*(tblMSCalculada[[#This Row],[Materia seca registrada (%)]]/100)*10/INDEX(tblMetadatos[Valor],MATCH("biomass_sample_area_m2",tblMetadatos[Parámetro],0))</f>
        <v/>
      </c>
      <c r="S85" s="14">
        <f>tblMSCalculada[[#This Row],[Peso verde en un metro (g)]]*(tblMSCalculada[[#This Row],[Materia seca reconstruida (%)]]/100)*10/INDEX(tblMetadatos[Valor],MATCH("biomass_sample_area_m2",tblMetadatos[Parámetro],0))</f>
        <v/>
      </c>
      <c r="T85" s="14">
        <f>tblMSCalculada[[#This Row],[Biomasa recalculada con materia seca registrada (kg MS/ha)]]-tblMSCalculada[[#This Row],[Biomasa informada en el libro histórico (kg MS/ha)]]</f>
        <v/>
      </c>
      <c r="U85" s="14">
        <f>tblMSCalculada[[#This Row],[Macollos en 30 cm (macollos/30 cm)]]*(100/30)*(100/INDEX(tblMetadatos[Valor],MATCH("row_spacing_cm",tblMetadatos[Parámetro],0)))</f>
        <v/>
      </c>
    </row>
    <row r="86">
      <c r="A86" s="6" t="inlineStr">
        <is>
          <t>dm_20251020_secano_m2_r4</t>
        </is>
      </c>
      <c r="B86" s="13">
        <f>INDEX(tblMSRegistrada[Fecha],MATCH(tblMSCalculada[[#This Row],[Identificador de observación]],tblMSRegistrada[Identificador de observación],0))</f>
        <v/>
      </c>
      <c r="C86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86" s="6">
        <f>INDEX(tblMSRegistrada[Sector hídrico],MATCH(tblMSCalculada[[#This Row],[Identificador de observación]],tblMSRegistrada[Identificador de observación],0))</f>
        <v/>
      </c>
      <c r="E86" s="6">
        <f>INDEX(tblMSRegistrada[Tratamiento],MATCH(tblMSCalculada[[#This Row],[Identificador de observación]],tblMSRegistrada[Identificador de observación],0))</f>
        <v/>
      </c>
      <c r="F86" s="6">
        <f>INDEX(tblMSRegistrada[Bloque],MATCH(tblMSCalculada[[#This Row],[Identificador de observación]],tblMSRegistrada[Identificador de observación],0))</f>
        <v/>
      </c>
      <c r="G86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86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86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86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86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86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86" s="14">
        <f>100*tblMSCalculada[[#This Row],[Peso seco (g)]]/tblMSCalculada[[#This Row],[Peso verde de la muestra (g)]]</f>
        <v/>
      </c>
      <c r="N86" s="14">
        <f>ABS(tblMSCalculada[[#This Row],[Materia seca registrada (%)]]-tblMSCalculada[[#This Row],[Materia seca reconstruida (%)]])</f>
        <v/>
      </c>
      <c r="O86" s="14">
        <f>tblMSCalculada[[#This Row],[Diferencia absoluta de materia seca (puntos porcentuales)]]/ABS(tblMSCalculada[[#This Row],[Materia seca registrada (%)]])</f>
        <v/>
      </c>
      <c r="P86" s="6">
        <f>AND(tblMSCalculada[[#This Row],[Diferencia absoluta de materia seca (puntos porcentuales)]]&gt;=5,tblMSCalculada[[#This Row],[Diferencia relativa de materia seca (proporción)]]&gt;=0.20)</f>
        <v/>
      </c>
      <c r="Q86" s="14" t="n">
        <v>12304</v>
      </c>
      <c r="R86" s="14">
        <f>tblMSCalculada[[#This Row],[Peso verde en un metro (g)]]*(tblMSCalculada[[#This Row],[Materia seca registrada (%)]]/100)*10/INDEX(tblMetadatos[Valor],MATCH("biomass_sample_area_m2",tblMetadatos[Parámetro],0))</f>
        <v/>
      </c>
      <c r="S86" s="14">
        <f>tblMSCalculada[[#This Row],[Peso verde en un metro (g)]]*(tblMSCalculada[[#This Row],[Materia seca reconstruida (%)]]/100)*10/INDEX(tblMetadatos[Valor],MATCH("biomass_sample_area_m2",tblMetadatos[Parámetro],0))</f>
        <v/>
      </c>
      <c r="T86" s="14">
        <f>tblMSCalculada[[#This Row],[Biomasa recalculada con materia seca registrada (kg MS/ha)]]-tblMSCalculada[[#This Row],[Biomasa informada en el libro histórico (kg MS/ha)]]</f>
        <v/>
      </c>
      <c r="U86" s="14">
        <f>tblMSCalculada[[#This Row],[Macollos en 30 cm (macollos/30 cm)]]*(100/30)*(100/INDEX(tblMetadatos[Valor],MATCH("row_spacing_cm",tblMetadatos[Parámetro],0)))</f>
        <v/>
      </c>
    </row>
    <row r="87">
      <c r="A87" s="6" t="inlineStr">
        <is>
          <t>dm_20251020_riego_m0_r1</t>
        </is>
      </c>
      <c r="B87" s="13">
        <f>INDEX(tblMSRegistrada[Fecha],MATCH(tblMSCalculada[[#This Row],[Identificador de observación]],tblMSRegistrada[Identificador de observación],0))</f>
        <v/>
      </c>
      <c r="C87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87" s="6">
        <f>INDEX(tblMSRegistrada[Sector hídrico],MATCH(tblMSCalculada[[#This Row],[Identificador de observación]],tblMSRegistrada[Identificador de observación],0))</f>
        <v/>
      </c>
      <c r="E87" s="6">
        <f>INDEX(tblMSRegistrada[Tratamiento],MATCH(tblMSCalculada[[#This Row],[Identificador de observación]],tblMSRegistrada[Identificador de observación],0))</f>
        <v/>
      </c>
      <c r="F87" s="6">
        <f>INDEX(tblMSRegistrada[Bloque],MATCH(tblMSCalculada[[#This Row],[Identificador de observación]],tblMSRegistrada[Identificador de observación],0))</f>
        <v/>
      </c>
      <c r="G87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87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87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87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87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87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87" s="14">
        <f>100*tblMSCalculada[[#This Row],[Peso seco (g)]]/tblMSCalculada[[#This Row],[Peso verde de la muestra (g)]]</f>
        <v/>
      </c>
      <c r="N87" s="14">
        <f>ABS(tblMSCalculada[[#This Row],[Materia seca registrada (%)]]-tblMSCalculada[[#This Row],[Materia seca reconstruida (%)]])</f>
        <v/>
      </c>
      <c r="O87" s="14">
        <f>tblMSCalculada[[#This Row],[Diferencia absoluta de materia seca (puntos porcentuales)]]/ABS(tblMSCalculada[[#This Row],[Materia seca registrada (%)]])</f>
        <v/>
      </c>
      <c r="P87" s="6">
        <f>AND(tblMSCalculada[[#This Row],[Diferencia absoluta de materia seca (puntos porcentuales)]]&gt;=5,tblMSCalculada[[#This Row],[Diferencia relativa de materia seca (proporción)]]&gt;=0.20)</f>
        <v/>
      </c>
      <c r="Q87" s="14" t="n">
        <v>5476</v>
      </c>
      <c r="R87" s="14">
        <f>tblMSCalculada[[#This Row],[Peso verde en un metro (g)]]*(tblMSCalculada[[#This Row],[Materia seca registrada (%)]]/100)*10/INDEX(tblMetadatos[Valor],MATCH("biomass_sample_area_m2",tblMetadatos[Parámetro],0))</f>
        <v/>
      </c>
      <c r="S87" s="14">
        <f>tblMSCalculada[[#This Row],[Peso verde en un metro (g)]]*(tblMSCalculada[[#This Row],[Materia seca reconstruida (%)]]/100)*10/INDEX(tblMetadatos[Valor],MATCH("biomass_sample_area_m2",tblMetadatos[Parámetro],0))</f>
        <v/>
      </c>
      <c r="T87" s="14">
        <f>tblMSCalculada[[#This Row],[Biomasa recalculada con materia seca registrada (kg MS/ha)]]-tblMSCalculada[[#This Row],[Biomasa informada en el libro histórico (kg MS/ha)]]</f>
        <v/>
      </c>
      <c r="U87" s="14">
        <f>tblMSCalculada[[#This Row],[Macollos en 30 cm (macollos/30 cm)]]*(100/30)*(100/INDEX(tblMetadatos[Valor],MATCH("row_spacing_cm",tblMetadatos[Parámetro],0)))</f>
        <v/>
      </c>
    </row>
    <row r="88">
      <c r="A88" s="6" t="inlineStr">
        <is>
          <t>dm_20251020_riego_m1_r1</t>
        </is>
      </c>
      <c r="B88" s="13">
        <f>INDEX(tblMSRegistrada[Fecha],MATCH(tblMSCalculada[[#This Row],[Identificador de observación]],tblMSRegistrada[Identificador de observación],0))</f>
        <v/>
      </c>
      <c r="C88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88" s="6">
        <f>INDEX(tblMSRegistrada[Sector hídrico],MATCH(tblMSCalculada[[#This Row],[Identificador de observación]],tblMSRegistrada[Identificador de observación],0))</f>
        <v/>
      </c>
      <c r="E88" s="6">
        <f>INDEX(tblMSRegistrada[Tratamiento],MATCH(tblMSCalculada[[#This Row],[Identificador de observación]],tblMSRegistrada[Identificador de observación],0))</f>
        <v/>
      </c>
      <c r="F88" s="6">
        <f>INDEX(tblMSRegistrada[Bloque],MATCH(tblMSCalculada[[#This Row],[Identificador de observación]],tblMSRegistrada[Identificador de observación],0))</f>
        <v/>
      </c>
      <c r="G88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88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88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88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88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88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88" s="14">
        <f>100*tblMSCalculada[[#This Row],[Peso seco (g)]]/tblMSCalculada[[#This Row],[Peso verde de la muestra (g)]]</f>
        <v/>
      </c>
      <c r="N88" s="14">
        <f>ABS(tblMSCalculada[[#This Row],[Materia seca registrada (%)]]-tblMSCalculada[[#This Row],[Materia seca reconstruida (%)]])</f>
        <v/>
      </c>
      <c r="O88" s="14">
        <f>tblMSCalculada[[#This Row],[Diferencia absoluta de materia seca (puntos porcentuales)]]/ABS(tblMSCalculada[[#This Row],[Materia seca registrada (%)]])</f>
        <v/>
      </c>
      <c r="P88" s="6">
        <f>AND(tblMSCalculada[[#This Row],[Diferencia absoluta de materia seca (puntos porcentuales)]]&gt;=5,tblMSCalculada[[#This Row],[Diferencia relativa de materia seca (proporción)]]&gt;=0.20)</f>
        <v/>
      </c>
      <c r="Q88" s="14" t="n">
        <v>13473</v>
      </c>
      <c r="R88" s="14">
        <f>tblMSCalculada[[#This Row],[Peso verde en un metro (g)]]*(tblMSCalculada[[#This Row],[Materia seca registrada (%)]]/100)*10/INDEX(tblMetadatos[Valor],MATCH("biomass_sample_area_m2",tblMetadatos[Parámetro],0))</f>
        <v/>
      </c>
      <c r="S88" s="14">
        <f>tblMSCalculada[[#This Row],[Peso verde en un metro (g)]]*(tblMSCalculada[[#This Row],[Materia seca reconstruida (%)]]/100)*10/INDEX(tblMetadatos[Valor],MATCH("biomass_sample_area_m2",tblMetadatos[Parámetro],0))</f>
        <v/>
      </c>
      <c r="T88" s="14">
        <f>tblMSCalculada[[#This Row],[Biomasa recalculada con materia seca registrada (kg MS/ha)]]-tblMSCalculada[[#This Row],[Biomasa informada en el libro histórico (kg MS/ha)]]</f>
        <v/>
      </c>
      <c r="U88" s="14">
        <f>tblMSCalculada[[#This Row],[Macollos en 30 cm (macollos/30 cm)]]*(100/30)*(100/INDEX(tblMetadatos[Valor],MATCH("row_spacing_cm",tblMetadatos[Parámetro],0)))</f>
        <v/>
      </c>
    </row>
    <row r="89">
      <c r="A89" s="6" t="inlineStr">
        <is>
          <t>dm_20251020_riego_m2_r1</t>
        </is>
      </c>
      <c r="B89" s="13">
        <f>INDEX(tblMSRegistrada[Fecha],MATCH(tblMSCalculada[[#This Row],[Identificador de observación]],tblMSRegistrada[Identificador de observación],0))</f>
        <v/>
      </c>
      <c r="C89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89" s="6">
        <f>INDEX(tblMSRegistrada[Sector hídrico],MATCH(tblMSCalculada[[#This Row],[Identificador de observación]],tblMSRegistrada[Identificador de observación],0))</f>
        <v/>
      </c>
      <c r="E89" s="6">
        <f>INDEX(tblMSRegistrada[Tratamiento],MATCH(tblMSCalculada[[#This Row],[Identificador de observación]],tblMSRegistrada[Identificador de observación],0))</f>
        <v/>
      </c>
      <c r="F89" s="6">
        <f>INDEX(tblMSRegistrada[Bloque],MATCH(tblMSCalculada[[#This Row],[Identificador de observación]],tblMSRegistrada[Identificador de observación],0))</f>
        <v/>
      </c>
      <c r="G89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89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89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89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89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89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89" s="14">
        <f>100*tblMSCalculada[[#This Row],[Peso seco (g)]]/tblMSCalculada[[#This Row],[Peso verde de la muestra (g)]]</f>
        <v/>
      </c>
      <c r="N89" s="14">
        <f>ABS(tblMSCalculada[[#This Row],[Materia seca registrada (%)]]-tblMSCalculada[[#This Row],[Materia seca reconstruida (%)]])</f>
        <v/>
      </c>
      <c r="O89" s="14">
        <f>tblMSCalculada[[#This Row],[Diferencia absoluta de materia seca (puntos porcentuales)]]/ABS(tblMSCalculada[[#This Row],[Materia seca registrada (%)]])</f>
        <v/>
      </c>
      <c r="P89" s="6">
        <f>AND(tblMSCalculada[[#This Row],[Diferencia absoluta de materia seca (puntos porcentuales)]]&gt;=5,tblMSCalculada[[#This Row],[Diferencia relativa de materia seca (proporción)]]&gt;=0.20)</f>
        <v/>
      </c>
      <c r="Q89" s="14" t="n">
        <v>11052</v>
      </c>
      <c r="R89" s="14">
        <f>tblMSCalculada[[#This Row],[Peso verde en un metro (g)]]*(tblMSCalculada[[#This Row],[Materia seca registrada (%)]]/100)*10/INDEX(tblMetadatos[Valor],MATCH("biomass_sample_area_m2",tblMetadatos[Parámetro],0))</f>
        <v/>
      </c>
      <c r="S89" s="14">
        <f>tblMSCalculada[[#This Row],[Peso verde en un metro (g)]]*(tblMSCalculada[[#This Row],[Materia seca reconstruida (%)]]/100)*10/INDEX(tblMetadatos[Valor],MATCH("biomass_sample_area_m2",tblMetadatos[Parámetro],0))</f>
        <v/>
      </c>
      <c r="T89" s="14">
        <f>tblMSCalculada[[#This Row],[Biomasa recalculada con materia seca registrada (kg MS/ha)]]-tblMSCalculada[[#This Row],[Biomasa informada en el libro histórico (kg MS/ha)]]</f>
        <v/>
      </c>
      <c r="U89" s="14">
        <f>tblMSCalculada[[#This Row],[Macollos en 30 cm (macollos/30 cm)]]*(100/30)*(100/INDEX(tblMetadatos[Valor],MATCH("row_spacing_cm",tblMetadatos[Parámetro],0)))</f>
        <v/>
      </c>
    </row>
    <row r="90">
      <c r="A90" s="6" t="inlineStr">
        <is>
          <t>dm_20251020_riego_m3_r1</t>
        </is>
      </c>
      <c r="B90" s="13">
        <f>INDEX(tblMSRegistrada[Fecha],MATCH(tblMSCalculada[[#This Row],[Identificador de observación]],tblMSRegistrada[Identificador de observación],0))</f>
        <v/>
      </c>
      <c r="C90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90" s="6">
        <f>INDEX(tblMSRegistrada[Sector hídrico],MATCH(tblMSCalculada[[#This Row],[Identificador de observación]],tblMSRegistrada[Identificador de observación],0))</f>
        <v/>
      </c>
      <c r="E90" s="6">
        <f>INDEX(tblMSRegistrada[Tratamiento],MATCH(tblMSCalculada[[#This Row],[Identificador de observación]],tblMSRegistrada[Identificador de observación],0))</f>
        <v/>
      </c>
      <c r="F90" s="6">
        <f>INDEX(tblMSRegistrada[Bloque],MATCH(tblMSCalculada[[#This Row],[Identificador de observación]],tblMSRegistrada[Identificador de observación],0))</f>
        <v/>
      </c>
      <c r="G90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90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90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90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90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90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90" s="14">
        <f>100*tblMSCalculada[[#This Row],[Peso seco (g)]]/tblMSCalculada[[#This Row],[Peso verde de la muestra (g)]]</f>
        <v/>
      </c>
      <c r="N90" s="14">
        <f>ABS(tblMSCalculada[[#This Row],[Materia seca registrada (%)]]-tblMSCalculada[[#This Row],[Materia seca reconstruida (%)]])</f>
        <v/>
      </c>
      <c r="O90" s="14">
        <f>tblMSCalculada[[#This Row],[Diferencia absoluta de materia seca (puntos porcentuales)]]/ABS(tblMSCalculada[[#This Row],[Materia seca registrada (%)]])</f>
        <v/>
      </c>
      <c r="P90" s="6">
        <f>AND(tblMSCalculada[[#This Row],[Diferencia absoluta de materia seca (puntos porcentuales)]]&gt;=5,tblMSCalculada[[#This Row],[Diferencia relativa de materia seca (proporción)]]&gt;=0.20)</f>
        <v/>
      </c>
      <c r="Q90" s="14" t="n">
        <v>10771</v>
      </c>
      <c r="R90" s="14">
        <f>tblMSCalculada[[#This Row],[Peso verde en un metro (g)]]*(tblMSCalculada[[#This Row],[Materia seca registrada (%)]]/100)*10/INDEX(tblMetadatos[Valor],MATCH("biomass_sample_area_m2",tblMetadatos[Parámetro],0))</f>
        <v/>
      </c>
      <c r="S90" s="14">
        <f>tblMSCalculada[[#This Row],[Peso verde en un metro (g)]]*(tblMSCalculada[[#This Row],[Materia seca reconstruida (%)]]/100)*10/INDEX(tblMetadatos[Valor],MATCH("biomass_sample_area_m2",tblMetadatos[Parámetro],0))</f>
        <v/>
      </c>
      <c r="T90" s="14">
        <f>tblMSCalculada[[#This Row],[Biomasa recalculada con materia seca registrada (kg MS/ha)]]-tblMSCalculada[[#This Row],[Biomasa informada en el libro histórico (kg MS/ha)]]</f>
        <v/>
      </c>
      <c r="U90" s="14">
        <f>tblMSCalculada[[#This Row],[Macollos en 30 cm (macollos/30 cm)]]*(100/30)*(100/INDEX(tblMetadatos[Valor],MATCH("row_spacing_cm",tblMetadatos[Parámetro],0)))</f>
        <v/>
      </c>
    </row>
    <row r="91">
      <c r="A91" s="6" t="inlineStr">
        <is>
          <t>dm_20251020_riego_m4_r1</t>
        </is>
      </c>
      <c r="B91" s="13">
        <f>INDEX(tblMSRegistrada[Fecha],MATCH(tblMSCalculada[[#This Row],[Identificador de observación]],tblMSRegistrada[Identificador de observación],0))</f>
        <v/>
      </c>
      <c r="C91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91" s="6">
        <f>INDEX(tblMSRegistrada[Sector hídrico],MATCH(tblMSCalculada[[#This Row],[Identificador de observación]],tblMSRegistrada[Identificador de observación],0))</f>
        <v/>
      </c>
      <c r="E91" s="6">
        <f>INDEX(tblMSRegistrada[Tratamiento],MATCH(tblMSCalculada[[#This Row],[Identificador de observación]],tblMSRegistrada[Identificador de observación],0))</f>
        <v/>
      </c>
      <c r="F91" s="6">
        <f>INDEX(tblMSRegistrada[Bloque],MATCH(tblMSCalculada[[#This Row],[Identificador de observación]],tblMSRegistrada[Identificador de observación],0))</f>
        <v/>
      </c>
      <c r="G91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91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91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91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91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91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91" s="14">
        <f>100*tblMSCalculada[[#This Row],[Peso seco (g)]]/tblMSCalculada[[#This Row],[Peso verde de la muestra (g)]]</f>
        <v/>
      </c>
      <c r="N91" s="14">
        <f>ABS(tblMSCalculada[[#This Row],[Materia seca registrada (%)]]-tblMSCalculada[[#This Row],[Materia seca reconstruida (%)]])</f>
        <v/>
      </c>
      <c r="O91" s="14">
        <f>tblMSCalculada[[#This Row],[Diferencia absoluta de materia seca (puntos porcentuales)]]/ABS(tblMSCalculada[[#This Row],[Materia seca registrada (%)]])</f>
        <v/>
      </c>
      <c r="P91" s="6">
        <f>AND(tblMSCalculada[[#This Row],[Diferencia absoluta de materia seca (puntos porcentuales)]]&gt;=5,tblMSCalculada[[#This Row],[Diferencia relativa de materia seca (proporción)]]&gt;=0.20)</f>
        <v/>
      </c>
      <c r="Q91" s="14" t="n">
        <v>10406</v>
      </c>
      <c r="R91" s="14">
        <f>tblMSCalculada[[#This Row],[Peso verde en un metro (g)]]*(tblMSCalculada[[#This Row],[Materia seca registrada (%)]]/100)*10/INDEX(tblMetadatos[Valor],MATCH("biomass_sample_area_m2",tblMetadatos[Parámetro],0))</f>
        <v/>
      </c>
      <c r="S91" s="14">
        <f>tblMSCalculada[[#This Row],[Peso verde en un metro (g)]]*(tblMSCalculada[[#This Row],[Materia seca reconstruida (%)]]/100)*10/INDEX(tblMetadatos[Valor],MATCH("biomass_sample_area_m2",tblMetadatos[Parámetro],0))</f>
        <v/>
      </c>
      <c r="T91" s="14">
        <f>tblMSCalculada[[#This Row],[Biomasa recalculada con materia seca registrada (kg MS/ha)]]-tblMSCalculada[[#This Row],[Biomasa informada en el libro histórico (kg MS/ha)]]</f>
        <v/>
      </c>
      <c r="U91" s="14">
        <f>tblMSCalculada[[#This Row],[Macollos en 30 cm (macollos/30 cm)]]*(100/30)*(100/INDEX(tblMetadatos[Valor],MATCH("row_spacing_cm",tblMetadatos[Parámetro],0)))</f>
        <v/>
      </c>
    </row>
    <row r="92">
      <c r="A92" s="6" t="inlineStr">
        <is>
          <t>dm_20251020_riego_m5_r1</t>
        </is>
      </c>
      <c r="B92" s="13">
        <f>INDEX(tblMSRegistrada[Fecha],MATCH(tblMSCalculada[[#This Row],[Identificador de observación]],tblMSRegistrada[Identificador de observación],0))</f>
        <v/>
      </c>
      <c r="C92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92" s="6">
        <f>INDEX(tblMSRegistrada[Sector hídrico],MATCH(tblMSCalculada[[#This Row],[Identificador de observación]],tblMSRegistrada[Identificador de observación],0))</f>
        <v/>
      </c>
      <c r="E92" s="6">
        <f>INDEX(tblMSRegistrada[Tratamiento],MATCH(tblMSCalculada[[#This Row],[Identificador de observación]],tblMSRegistrada[Identificador de observación],0))</f>
        <v/>
      </c>
      <c r="F92" s="6">
        <f>INDEX(tblMSRegistrada[Bloque],MATCH(tblMSCalculada[[#This Row],[Identificador de observación]],tblMSRegistrada[Identificador de observación],0))</f>
        <v/>
      </c>
      <c r="G92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92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92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92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92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92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92" s="14">
        <f>100*tblMSCalculada[[#This Row],[Peso seco (g)]]/tblMSCalculada[[#This Row],[Peso verde de la muestra (g)]]</f>
        <v/>
      </c>
      <c r="N92" s="14">
        <f>ABS(tblMSCalculada[[#This Row],[Materia seca registrada (%)]]-tblMSCalculada[[#This Row],[Materia seca reconstruida (%)]])</f>
        <v/>
      </c>
      <c r="O92" s="14">
        <f>tblMSCalculada[[#This Row],[Diferencia absoluta de materia seca (puntos porcentuales)]]/ABS(tblMSCalculada[[#This Row],[Materia seca registrada (%)]])</f>
        <v/>
      </c>
      <c r="P92" s="6">
        <f>AND(tblMSCalculada[[#This Row],[Diferencia absoluta de materia seca (puntos porcentuales)]]&gt;=5,tblMSCalculada[[#This Row],[Diferencia relativa de materia seca (proporción)]]&gt;=0.20)</f>
        <v/>
      </c>
      <c r="Q92" s="14" t="n">
        <v>9271</v>
      </c>
      <c r="R92" s="14">
        <f>tblMSCalculada[[#This Row],[Peso verde en un metro (g)]]*(tblMSCalculada[[#This Row],[Materia seca registrada (%)]]/100)*10/INDEX(tblMetadatos[Valor],MATCH("biomass_sample_area_m2",tblMetadatos[Parámetro],0))</f>
        <v/>
      </c>
      <c r="S92" s="14">
        <f>tblMSCalculada[[#This Row],[Peso verde en un metro (g)]]*(tblMSCalculada[[#This Row],[Materia seca reconstruida (%)]]/100)*10/INDEX(tblMetadatos[Valor],MATCH("biomass_sample_area_m2",tblMetadatos[Parámetro],0))</f>
        <v/>
      </c>
      <c r="T92" s="14">
        <f>tblMSCalculada[[#This Row],[Biomasa recalculada con materia seca registrada (kg MS/ha)]]-tblMSCalculada[[#This Row],[Biomasa informada en el libro histórico (kg MS/ha)]]</f>
        <v/>
      </c>
      <c r="U92" s="14">
        <f>tblMSCalculada[[#This Row],[Macollos en 30 cm (macollos/30 cm)]]*(100/30)*(100/INDEX(tblMetadatos[Valor],MATCH("row_spacing_cm",tblMetadatos[Parámetro],0)))</f>
        <v/>
      </c>
    </row>
    <row r="93">
      <c r="A93" s="6" t="inlineStr">
        <is>
          <t>dm_20251020_riego_m3_r2</t>
        </is>
      </c>
      <c r="B93" s="13">
        <f>INDEX(tblMSRegistrada[Fecha],MATCH(tblMSCalculada[[#This Row],[Identificador de observación]],tblMSRegistrada[Identificador de observación],0))</f>
        <v/>
      </c>
      <c r="C93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93" s="6">
        <f>INDEX(tblMSRegistrada[Sector hídrico],MATCH(tblMSCalculada[[#This Row],[Identificador de observación]],tblMSRegistrada[Identificador de observación],0))</f>
        <v/>
      </c>
      <c r="E93" s="6">
        <f>INDEX(tblMSRegistrada[Tratamiento],MATCH(tblMSCalculada[[#This Row],[Identificador de observación]],tblMSRegistrada[Identificador de observación],0))</f>
        <v/>
      </c>
      <c r="F93" s="6">
        <f>INDEX(tblMSRegistrada[Bloque],MATCH(tblMSCalculada[[#This Row],[Identificador de observación]],tblMSRegistrada[Identificador de observación],0))</f>
        <v/>
      </c>
      <c r="G93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93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93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93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93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93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93" s="14">
        <f>100*tblMSCalculada[[#This Row],[Peso seco (g)]]/tblMSCalculada[[#This Row],[Peso verde de la muestra (g)]]</f>
        <v/>
      </c>
      <c r="N93" s="14">
        <f>ABS(tblMSCalculada[[#This Row],[Materia seca registrada (%)]]-tblMSCalculada[[#This Row],[Materia seca reconstruida (%)]])</f>
        <v/>
      </c>
      <c r="O93" s="14">
        <f>tblMSCalculada[[#This Row],[Diferencia absoluta de materia seca (puntos porcentuales)]]/ABS(tblMSCalculada[[#This Row],[Materia seca registrada (%)]])</f>
        <v/>
      </c>
      <c r="P93" s="6">
        <f>AND(tblMSCalculada[[#This Row],[Diferencia absoluta de materia seca (puntos porcentuales)]]&gt;=5,tblMSCalculada[[#This Row],[Diferencia relativa de materia seca (proporción)]]&gt;=0.20)</f>
        <v/>
      </c>
      <c r="Q93" s="14" t="n">
        <v>11042</v>
      </c>
      <c r="R93" s="14">
        <f>tblMSCalculada[[#This Row],[Peso verde en un metro (g)]]*(tblMSCalculada[[#This Row],[Materia seca registrada (%)]]/100)*10/INDEX(tblMetadatos[Valor],MATCH("biomass_sample_area_m2",tblMetadatos[Parámetro],0))</f>
        <v/>
      </c>
      <c r="S93" s="14">
        <f>tblMSCalculada[[#This Row],[Peso verde en un metro (g)]]*(tblMSCalculada[[#This Row],[Materia seca reconstruida (%)]]/100)*10/INDEX(tblMetadatos[Valor],MATCH("biomass_sample_area_m2",tblMetadatos[Parámetro],0))</f>
        <v/>
      </c>
      <c r="T93" s="14">
        <f>tblMSCalculada[[#This Row],[Biomasa recalculada con materia seca registrada (kg MS/ha)]]-tblMSCalculada[[#This Row],[Biomasa informada en el libro histórico (kg MS/ha)]]</f>
        <v/>
      </c>
      <c r="U93" s="14">
        <f>tblMSCalculada[[#This Row],[Macollos en 30 cm (macollos/30 cm)]]*(100/30)*(100/INDEX(tblMetadatos[Valor],MATCH("row_spacing_cm",tblMetadatos[Parámetro],0)))</f>
        <v/>
      </c>
    </row>
    <row r="94">
      <c r="A94" s="6" t="inlineStr">
        <is>
          <t>dm_20251020_riego_m2_r2</t>
        </is>
      </c>
      <c r="B94" s="13">
        <f>INDEX(tblMSRegistrada[Fecha],MATCH(tblMSCalculada[[#This Row],[Identificador de observación]],tblMSRegistrada[Identificador de observación],0))</f>
        <v/>
      </c>
      <c r="C94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94" s="6">
        <f>INDEX(tblMSRegistrada[Sector hídrico],MATCH(tblMSCalculada[[#This Row],[Identificador de observación]],tblMSRegistrada[Identificador de observación],0))</f>
        <v/>
      </c>
      <c r="E94" s="6">
        <f>INDEX(tblMSRegistrada[Tratamiento],MATCH(tblMSCalculada[[#This Row],[Identificador de observación]],tblMSRegistrada[Identificador de observación],0))</f>
        <v/>
      </c>
      <c r="F94" s="6">
        <f>INDEX(tblMSRegistrada[Bloque],MATCH(tblMSCalculada[[#This Row],[Identificador de observación]],tblMSRegistrada[Identificador de observación],0))</f>
        <v/>
      </c>
      <c r="G94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94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94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94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94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94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94" s="14">
        <f>100*tblMSCalculada[[#This Row],[Peso seco (g)]]/tblMSCalculada[[#This Row],[Peso verde de la muestra (g)]]</f>
        <v/>
      </c>
      <c r="N94" s="14">
        <f>ABS(tblMSCalculada[[#This Row],[Materia seca registrada (%)]]-tblMSCalculada[[#This Row],[Materia seca reconstruida (%)]])</f>
        <v/>
      </c>
      <c r="O94" s="14">
        <f>tblMSCalculada[[#This Row],[Diferencia absoluta de materia seca (puntos porcentuales)]]/ABS(tblMSCalculada[[#This Row],[Materia seca registrada (%)]])</f>
        <v/>
      </c>
      <c r="P94" s="6">
        <f>AND(tblMSCalculada[[#This Row],[Diferencia absoluta de materia seca (puntos porcentuales)]]&gt;=5,tblMSCalculada[[#This Row],[Diferencia relativa de materia seca (proporción)]]&gt;=0.20)</f>
        <v/>
      </c>
      <c r="Q94" s="14" t="n">
        <v>11584</v>
      </c>
      <c r="R94" s="14">
        <f>tblMSCalculada[[#This Row],[Peso verde en un metro (g)]]*(tblMSCalculada[[#This Row],[Materia seca registrada (%)]]/100)*10/INDEX(tblMetadatos[Valor],MATCH("biomass_sample_area_m2",tblMetadatos[Parámetro],0))</f>
        <v/>
      </c>
      <c r="S94" s="14">
        <f>tblMSCalculada[[#This Row],[Peso verde en un metro (g)]]*(tblMSCalculada[[#This Row],[Materia seca reconstruida (%)]]/100)*10/INDEX(tblMetadatos[Valor],MATCH("biomass_sample_area_m2",tblMetadatos[Parámetro],0))</f>
        <v/>
      </c>
      <c r="T94" s="14">
        <f>tblMSCalculada[[#This Row],[Biomasa recalculada con materia seca registrada (kg MS/ha)]]-tblMSCalculada[[#This Row],[Biomasa informada en el libro histórico (kg MS/ha)]]</f>
        <v/>
      </c>
      <c r="U94" s="14">
        <f>tblMSCalculada[[#This Row],[Macollos en 30 cm (macollos/30 cm)]]*(100/30)*(100/INDEX(tblMetadatos[Valor],MATCH("row_spacing_cm",tblMetadatos[Parámetro],0)))</f>
        <v/>
      </c>
    </row>
    <row r="95">
      <c r="A95" s="6" t="inlineStr">
        <is>
          <t>dm_20251020_riego_m4_r2</t>
        </is>
      </c>
      <c r="B95" s="13">
        <f>INDEX(tblMSRegistrada[Fecha],MATCH(tblMSCalculada[[#This Row],[Identificador de observación]],tblMSRegistrada[Identificador de observación],0))</f>
        <v/>
      </c>
      <c r="C95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95" s="6">
        <f>INDEX(tblMSRegistrada[Sector hídrico],MATCH(tblMSCalculada[[#This Row],[Identificador de observación]],tblMSRegistrada[Identificador de observación],0))</f>
        <v/>
      </c>
      <c r="E95" s="6">
        <f>INDEX(tblMSRegistrada[Tratamiento],MATCH(tblMSCalculada[[#This Row],[Identificador de observación]],tblMSRegistrada[Identificador de observación],0))</f>
        <v/>
      </c>
      <c r="F95" s="6">
        <f>INDEX(tblMSRegistrada[Bloque],MATCH(tblMSCalculada[[#This Row],[Identificador de observación]],tblMSRegistrada[Identificador de observación],0))</f>
        <v/>
      </c>
      <c r="G95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95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95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95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95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95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95" s="14">
        <f>100*tblMSCalculada[[#This Row],[Peso seco (g)]]/tblMSCalculada[[#This Row],[Peso verde de la muestra (g)]]</f>
        <v/>
      </c>
      <c r="N95" s="14">
        <f>ABS(tblMSCalculada[[#This Row],[Materia seca registrada (%)]]-tblMSCalculada[[#This Row],[Materia seca reconstruida (%)]])</f>
        <v/>
      </c>
      <c r="O95" s="14">
        <f>tblMSCalculada[[#This Row],[Diferencia absoluta de materia seca (puntos porcentuales)]]/ABS(tblMSCalculada[[#This Row],[Materia seca registrada (%)]])</f>
        <v/>
      </c>
      <c r="P95" s="6">
        <f>AND(tblMSCalculada[[#This Row],[Diferencia absoluta de materia seca (puntos porcentuales)]]&gt;=5,tblMSCalculada[[#This Row],[Diferencia relativa de materia seca (proporción)]]&gt;=0.20)</f>
        <v/>
      </c>
      <c r="Q95" s="14" t="n">
        <v>10510</v>
      </c>
      <c r="R95" s="14">
        <f>tblMSCalculada[[#This Row],[Peso verde en un metro (g)]]*(tblMSCalculada[[#This Row],[Materia seca registrada (%)]]/100)*10/INDEX(tblMetadatos[Valor],MATCH("biomass_sample_area_m2",tblMetadatos[Parámetro],0))</f>
        <v/>
      </c>
      <c r="S95" s="14">
        <f>tblMSCalculada[[#This Row],[Peso verde en un metro (g)]]*(tblMSCalculada[[#This Row],[Materia seca reconstruida (%)]]/100)*10/INDEX(tblMetadatos[Valor],MATCH("biomass_sample_area_m2",tblMetadatos[Parámetro],0))</f>
        <v/>
      </c>
      <c r="T95" s="14">
        <f>tblMSCalculada[[#This Row],[Biomasa recalculada con materia seca registrada (kg MS/ha)]]-tblMSCalculada[[#This Row],[Biomasa informada en el libro histórico (kg MS/ha)]]</f>
        <v/>
      </c>
      <c r="U95" s="14">
        <f>tblMSCalculada[[#This Row],[Macollos en 30 cm (macollos/30 cm)]]*(100/30)*(100/INDEX(tblMetadatos[Valor],MATCH("row_spacing_cm",tblMetadatos[Parámetro],0)))</f>
        <v/>
      </c>
    </row>
    <row r="96">
      <c r="A96" s="6" t="inlineStr">
        <is>
          <t>dm_20251020_riego_m0_r2</t>
        </is>
      </c>
      <c r="B96" s="13">
        <f>INDEX(tblMSRegistrada[Fecha],MATCH(tblMSCalculada[[#This Row],[Identificador de observación]],tblMSRegistrada[Identificador de observación],0))</f>
        <v/>
      </c>
      <c r="C96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96" s="6">
        <f>INDEX(tblMSRegistrada[Sector hídrico],MATCH(tblMSCalculada[[#This Row],[Identificador de observación]],tblMSRegistrada[Identificador de observación],0))</f>
        <v/>
      </c>
      <c r="E96" s="6">
        <f>INDEX(tblMSRegistrada[Tratamiento],MATCH(tblMSCalculada[[#This Row],[Identificador de observación]],tblMSRegistrada[Identificador de observación],0))</f>
        <v/>
      </c>
      <c r="F96" s="6">
        <f>INDEX(tblMSRegistrada[Bloque],MATCH(tblMSCalculada[[#This Row],[Identificador de observación]],tblMSRegistrada[Identificador de observación],0))</f>
        <v/>
      </c>
      <c r="G96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96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96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96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96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96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96" s="14">
        <f>100*tblMSCalculada[[#This Row],[Peso seco (g)]]/tblMSCalculada[[#This Row],[Peso verde de la muestra (g)]]</f>
        <v/>
      </c>
      <c r="N96" s="14">
        <f>ABS(tblMSCalculada[[#This Row],[Materia seca registrada (%)]]-tblMSCalculada[[#This Row],[Materia seca reconstruida (%)]])</f>
        <v/>
      </c>
      <c r="O96" s="14">
        <f>tblMSCalculada[[#This Row],[Diferencia absoluta de materia seca (puntos porcentuales)]]/ABS(tblMSCalculada[[#This Row],[Materia seca registrada (%)]])</f>
        <v/>
      </c>
      <c r="P96" s="6">
        <f>AND(tblMSCalculada[[#This Row],[Diferencia absoluta de materia seca (puntos porcentuales)]]&gt;=5,tblMSCalculada[[#This Row],[Diferencia relativa de materia seca (proporción)]]&gt;=0.20)</f>
        <v/>
      </c>
      <c r="Q96" s="14" t="n">
        <v>5916</v>
      </c>
      <c r="R96" s="14">
        <f>tblMSCalculada[[#This Row],[Peso verde en un metro (g)]]*(tblMSCalculada[[#This Row],[Materia seca registrada (%)]]/100)*10/INDEX(tblMetadatos[Valor],MATCH("biomass_sample_area_m2",tblMetadatos[Parámetro],0))</f>
        <v/>
      </c>
      <c r="S96" s="14">
        <f>tblMSCalculada[[#This Row],[Peso verde en un metro (g)]]*(tblMSCalculada[[#This Row],[Materia seca reconstruida (%)]]/100)*10/INDEX(tblMetadatos[Valor],MATCH("biomass_sample_area_m2",tblMetadatos[Parámetro],0))</f>
        <v/>
      </c>
      <c r="T96" s="14">
        <f>tblMSCalculada[[#This Row],[Biomasa recalculada con materia seca registrada (kg MS/ha)]]-tblMSCalculada[[#This Row],[Biomasa informada en el libro histórico (kg MS/ha)]]</f>
        <v/>
      </c>
      <c r="U96" s="14">
        <f>tblMSCalculada[[#This Row],[Macollos en 30 cm (macollos/30 cm)]]*(100/30)*(100/INDEX(tblMetadatos[Valor],MATCH("row_spacing_cm",tblMetadatos[Parámetro],0)))</f>
        <v/>
      </c>
    </row>
    <row r="97">
      <c r="A97" s="6" t="inlineStr">
        <is>
          <t>dm_20251020_riego_m1_r2</t>
        </is>
      </c>
      <c r="B97" s="13">
        <f>INDEX(tblMSRegistrada[Fecha],MATCH(tblMSCalculada[[#This Row],[Identificador de observación]],tblMSRegistrada[Identificador de observación],0))</f>
        <v/>
      </c>
      <c r="C97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97" s="6">
        <f>INDEX(tblMSRegistrada[Sector hídrico],MATCH(tblMSCalculada[[#This Row],[Identificador de observación]],tblMSRegistrada[Identificador de observación],0))</f>
        <v/>
      </c>
      <c r="E97" s="6">
        <f>INDEX(tblMSRegistrada[Tratamiento],MATCH(tblMSCalculada[[#This Row],[Identificador de observación]],tblMSRegistrada[Identificador de observación],0))</f>
        <v/>
      </c>
      <c r="F97" s="6">
        <f>INDEX(tblMSRegistrada[Bloque],MATCH(tblMSCalculada[[#This Row],[Identificador de observación]],tblMSRegistrada[Identificador de observación],0))</f>
        <v/>
      </c>
      <c r="G97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97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97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97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97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97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97" s="14">
        <f>100*tblMSCalculada[[#This Row],[Peso seco (g)]]/tblMSCalculada[[#This Row],[Peso verde de la muestra (g)]]</f>
        <v/>
      </c>
      <c r="N97" s="14">
        <f>ABS(tblMSCalculada[[#This Row],[Materia seca registrada (%)]]-tblMSCalculada[[#This Row],[Materia seca reconstruida (%)]])</f>
        <v/>
      </c>
      <c r="O97" s="14">
        <f>tblMSCalculada[[#This Row],[Diferencia absoluta de materia seca (puntos porcentuales)]]/ABS(tblMSCalculada[[#This Row],[Materia seca registrada (%)]])</f>
        <v/>
      </c>
      <c r="P97" s="6">
        <f>AND(tblMSCalculada[[#This Row],[Diferencia absoluta de materia seca (puntos porcentuales)]]&gt;=5,tblMSCalculada[[#This Row],[Diferencia relativa de materia seca (proporción)]]&gt;=0.20)</f>
        <v/>
      </c>
      <c r="Q97" s="14" t="n">
        <v>13197</v>
      </c>
      <c r="R97" s="14">
        <f>tblMSCalculada[[#This Row],[Peso verde en un metro (g)]]*(tblMSCalculada[[#This Row],[Materia seca registrada (%)]]/100)*10/INDEX(tblMetadatos[Valor],MATCH("biomass_sample_area_m2",tblMetadatos[Parámetro],0))</f>
        <v/>
      </c>
      <c r="S97" s="14">
        <f>tblMSCalculada[[#This Row],[Peso verde en un metro (g)]]*(tblMSCalculada[[#This Row],[Materia seca reconstruida (%)]]/100)*10/INDEX(tblMetadatos[Valor],MATCH("biomass_sample_area_m2",tblMetadatos[Parámetro],0))</f>
        <v/>
      </c>
      <c r="T97" s="14">
        <f>tblMSCalculada[[#This Row],[Biomasa recalculada con materia seca registrada (kg MS/ha)]]-tblMSCalculada[[#This Row],[Biomasa informada en el libro histórico (kg MS/ha)]]</f>
        <v/>
      </c>
      <c r="U97" s="14">
        <f>tblMSCalculada[[#This Row],[Macollos en 30 cm (macollos/30 cm)]]*(100/30)*(100/INDEX(tblMetadatos[Valor],MATCH("row_spacing_cm",tblMetadatos[Parámetro],0)))</f>
        <v/>
      </c>
    </row>
    <row r="98">
      <c r="A98" s="6" t="inlineStr">
        <is>
          <t>dm_20251020_riego_m5_r2</t>
        </is>
      </c>
      <c r="B98" s="13">
        <f>INDEX(tblMSRegistrada[Fecha],MATCH(tblMSCalculada[[#This Row],[Identificador de observación]],tblMSRegistrada[Identificador de observación],0))</f>
        <v/>
      </c>
      <c r="C98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98" s="6">
        <f>INDEX(tblMSRegistrada[Sector hídrico],MATCH(tblMSCalculada[[#This Row],[Identificador de observación]],tblMSRegistrada[Identificador de observación],0))</f>
        <v/>
      </c>
      <c r="E98" s="6">
        <f>INDEX(tblMSRegistrada[Tratamiento],MATCH(tblMSCalculada[[#This Row],[Identificador de observación]],tblMSRegistrada[Identificador de observación],0))</f>
        <v/>
      </c>
      <c r="F98" s="6">
        <f>INDEX(tblMSRegistrada[Bloque],MATCH(tblMSCalculada[[#This Row],[Identificador de observación]],tblMSRegistrada[Identificador de observación],0))</f>
        <v/>
      </c>
      <c r="G98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98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98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98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98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98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98" s="14">
        <f>100*tblMSCalculada[[#This Row],[Peso seco (g)]]/tblMSCalculada[[#This Row],[Peso verde de la muestra (g)]]</f>
        <v/>
      </c>
      <c r="N98" s="14">
        <f>ABS(tblMSCalculada[[#This Row],[Materia seca registrada (%)]]-tblMSCalculada[[#This Row],[Materia seca reconstruida (%)]])</f>
        <v/>
      </c>
      <c r="O98" s="14">
        <f>tblMSCalculada[[#This Row],[Diferencia absoluta de materia seca (puntos porcentuales)]]/ABS(tblMSCalculada[[#This Row],[Materia seca registrada (%)]])</f>
        <v/>
      </c>
      <c r="P98" s="6">
        <f>AND(tblMSCalculada[[#This Row],[Diferencia absoluta de materia seca (puntos porcentuales)]]&gt;=5,tblMSCalculada[[#This Row],[Diferencia relativa de materia seca (proporción)]]&gt;=0.20)</f>
        <v/>
      </c>
      <c r="Q98" s="14" t="n">
        <v>9548</v>
      </c>
      <c r="R98" s="14">
        <f>tblMSCalculada[[#This Row],[Peso verde en un metro (g)]]*(tblMSCalculada[[#This Row],[Materia seca registrada (%)]]/100)*10/INDEX(tblMetadatos[Valor],MATCH("biomass_sample_area_m2",tblMetadatos[Parámetro],0))</f>
        <v/>
      </c>
      <c r="S98" s="14">
        <f>tblMSCalculada[[#This Row],[Peso verde en un metro (g)]]*(tblMSCalculada[[#This Row],[Materia seca reconstruida (%)]]/100)*10/INDEX(tblMetadatos[Valor],MATCH("biomass_sample_area_m2",tblMetadatos[Parámetro],0))</f>
        <v/>
      </c>
      <c r="T98" s="14">
        <f>tblMSCalculada[[#This Row],[Biomasa recalculada con materia seca registrada (kg MS/ha)]]-tblMSCalculada[[#This Row],[Biomasa informada en el libro histórico (kg MS/ha)]]</f>
        <v/>
      </c>
      <c r="U98" s="14">
        <f>tblMSCalculada[[#This Row],[Macollos en 30 cm (macollos/30 cm)]]*(100/30)*(100/INDEX(tblMetadatos[Valor],MATCH("row_spacing_cm",tblMetadatos[Parámetro],0)))</f>
        <v/>
      </c>
    </row>
    <row r="99">
      <c r="A99" s="6" t="inlineStr">
        <is>
          <t>dm_20251020_riego_m3_r3</t>
        </is>
      </c>
      <c r="B99" s="13">
        <f>INDEX(tblMSRegistrada[Fecha],MATCH(tblMSCalculada[[#This Row],[Identificador de observación]],tblMSRegistrada[Identificador de observación],0))</f>
        <v/>
      </c>
      <c r="C99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99" s="6">
        <f>INDEX(tblMSRegistrada[Sector hídrico],MATCH(tblMSCalculada[[#This Row],[Identificador de observación]],tblMSRegistrada[Identificador de observación],0))</f>
        <v/>
      </c>
      <c r="E99" s="6">
        <f>INDEX(tblMSRegistrada[Tratamiento],MATCH(tblMSCalculada[[#This Row],[Identificador de observación]],tblMSRegistrada[Identificador de observación],0))</f>
        <v/>
      </c>
      <c r="F99" s="6">
        <f>INDEX(tblMSRegistrada[Bloque],MATCH(tblMSCalculada[[#This Row],[Identificador de observación]],tblMSRegistrada[Identificador de observación],0))</f>
        <v/>
      </c>
      <c r="G99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99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99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99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99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99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99" s="14">
        <f>100*tblMSCalculada[[#This Row],[Peso seco (g)]]/tblMSCalculada[[#This Row],[Peso verde de la muestra (g)]]</f>
        <v/>
      </c>
      <c r="N99" s="14">
        <f>ABS(tblMSCalculada[[#This Row],[Materia seca registrada (%)]]-tblMSCalculada[[#This Row],[Materia seca reconstruida (%)]])</f>
        <v/>
      </c>
      <c r="O99" s="14">
        <f>tblMSCalculada[[#This Row],[Diferencia absoluta de materia seca (puntos porcentuales)]]/ABS(tblMSCalculada[[#This Row],[Materia seca registrada (%)]])</f>
        <v/>
      </c>
      <c r="P99" s="6">
        <f>AND(tblMSCalculada[[#This Row],[Diferencia absoluta de materia seca (puntos porcentuales)]]&gt;=5,tblMSCalculada[[#This Row],[Diferencia relativa de materia seca (proporción)]]&gt;=0.20)</f>
        <v/>
      </c>
      <c r="Q99" s="14" t="n">
        <v>14850</v>
      </c>
      <c r="R99" s="14">
        <f>tblMSCalculada[[#This Row],[Peso verde en un metro (g)]]*(tblMSCalculada[[#This Row],[Materia seca registrada (%)]]/100)*10/INDEX(tblMetadatos[Valor],MATCH("biomass_sample_area_m2",tblMetadatos[Parámetro],0))</f>
        <v/>
      </c>
      <c r="S99" s="14">
        <f>tblMSCalculada[[#This Row],[Peso verde en un metro (g)]]*(tblMSCalculada[[#This Row],[Materia seca reconstruida (%)]]/100)*10/INDEX(tblMetadatos[Valor],MATCH("biomass_sample_area_m2",tblMetadatos[Parámetro],0))</f>
        <v/>
      </c>
      <c r="T99" s="14">
        <f>tblMSCalculada[[#This Row],[Biomasa recalculada con materia seca registrada (kg MS/ha)]]-tblMSCalculada[[#This Row],[Biomasa informada en el libro histórico (kg MS/ha)]]</f>
        <v/>
      </c>
      <c r="U99" s="14">
        <f>tblMSCalculada[[#This Row],[Macollos en 30 cm (macollos/30 cm)]]*(100/30)*(100/INDEX(tblMetadatos[Valor],MATCH("row_spacing_cm",tblMetadatos[Parámetro],0)))</f>
        <v/>
      </c>
    </row>
    <row r="100">
      <c r="A100" s="6" t="inlineStr">
        <is>
          <t>dm_20251020_riego_m4_r3</t>
        </is>
      </c>
      <c r="B100" s="13">
        <f>INDEX(tblMSRegistrada[Fecha],MATCH(tblMSCalculada[[#This Row],[Identificador de observación]],tblMSRegistrada[Identificador de observación],0))</f>
        <v/>
      </c>
      <c r="C100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00" s="6">
        <f>INDEX(tblMSRegistrada[Sector hídrico],MATCH(tblMSCalculada[[#This Row],[Identificador de observación]],tblMSRegistrada[Identificador de observación],0))</f>
        <v/>
      </c>
      <c r="E100" s="6">
        <f>INDEX(tblMSRegistrada[Tratamiento],MATCH(tblMSCalculada[[#This Row],[Identificador de observación]],tblMSRegistrada[Identificador de observación],0))</f>
        <v/>
      </c>
      <c r="F100" s="6">
        <f>INDEX(tblMSRegistrada[Bloque],MATCH(tblMSCalculada[[#This Row],[Identificador de observación]],tblMSRegistrada[Identificador de observación],0))</f>
        <v/>
      </c>
      <c r="G100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00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00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00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00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00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00" s="14">
        <f>100*tblMSCalculada[[#This Row],[Peso seco (g)]]/tblMSCalculada[[#This Row],[Peso verde de la muestra (g)]]</f>
        <v/>
      </c>
      <c r="N100" s="14">
        <f>ABS(tblMSCalculada[[#This Row],[Materia seca registrada (%)]]-tblMSCalculada[[#This Row],[Materia seca reconstruida (%)]])</f>
        <v/>
      </c>
      <c r="O100" s="14">
        <f>tblMSCalculada[[#This Row],[Diferencia absoluta de materia seca (puntos porcentuales)]]/ABS(tblMSCalculada[[#This Row],[Materia seca registrada (%)]])</f>
        <v/>
      </c>
      <c r="P100" s="6">
        <f>AND(tblMSCalculada[[#This Row],[Diferencia absoluta de materia seca (puntos porcentuales)]]&gt;=5,tblMSCalculada[[#This Row],[Diferencia relativa de materia seca (proporción)]]&gt;=0.20)</f>
        <v/>
      </c>
      <c r="Q100" s="14" t="n">
        <v>14497</v>
      </c>
      <c r="R100" s="14">
        <f>tblMSCalculada[[#This Row],[Peso verde en un metro (g)]]*(tblMSCalculada[[#This Row],[Materia seca registrada (%)]]/100)*10/INDEX(tblMetadatos[Valor],MATCH("biomass_sample_area_m2",tblMetadatos[Parámetro],0))</f>
        <v/>
      </c>
      <c r="S100" s="14">
        <f>tblMSCalculada[[#This Row],[Peso verde en un metro (g)]]*(tblMSCalculada[[#This Row],[Materia seca reconstruida (%)]]/100)*10/INDEX(tblMetadatos[Valor],MATCH("biomass_sample_area_m2",tblMetadatos[Parámetro],0))</f>
        <v/>
      </c>
      <c r="T100" s="14">
        <f>tblMSCalculada[[#This Row],[Biomasa recalculada con materia seca registrada (kg MS/ha)]]-tblMSCalculada[[#This Row],[Biomasa informada en el libro histórico (kg MS/ha)]]</f>
        <v/>
      </c>
      <c r="U100" s="14">
        <f>tblMSCalculada[[#This Row],[Macollos en 30 cm (macollos/30 cm)]]*(100/30)*(100/INDEX(tblMetadatos[Valor],MATCH("row_spacing_cm",tblMetadatos[Parámetro],0)))</f>
        <v/>
      </c>
    </row>
    <row r="101">
      <c r="A101" s="6" t="inlineStr">
        <is>
          <t>dm_20251020_riego_m0_r3</t>
        </is>
      </c>
      <c r="B101" s="13">
        <f>INDEX(tblMSRegistrada[Fecha],MATCH(tblMSCalculada[[#This Row],[Identificador de observación]],tblMSRegistrada[Identificador de observación],0))</f>
        <v/>
      </c>
      <c r="C101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01" s="6">
        <f>INDEX(tblMSRegistrada[Sector hídrico],MATCH(tblMSCalculada[[#This Row],[Identificador de observación]],tblMSRegistrada[Identificador de observación],0))</f>
        <v/>
      </c>
      <c r="E101" s="6">
        <f>INDEX(tblMSRegistrada[Tratamiento],MATCH(tblMSCalculada[[#This Row],[Identificador de observación]],tblMSRegistrada[Identificador de observación],0))</f>
        <v/>
      </c>
      <c r="F101" s="6">
        <f>INDEX(tblMSRegistrada[Bloque],MATCH(tblMSCalculada[[#This Row],[Identificador de observación]],tblMSRegistrada[Identificador de observación],0))</f>
        <v/>
      </c>
      <c r="G101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01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01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01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01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01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01" s="14">
        <f>100*tblMSCalculada[[#This Row],[Peso seco (g)]]/tblMSCalculada[[#This Row],[Peso verde de la muestra (g)]]</f>
        <v/>
      </c>
      <c r="N101" s="14">
        <f>ABS(tblMSCalculada[[#This Row],[Materia seca registrada (%)]]-tblMSCalculada[[#This Row],[Materia seca reconstruida (%)]])</f>
        <v/>
      </c>
      <c r="O101" s="14">
        <f>tblMSCalculada[[#This Row],[Diferencia absoluta de materia seca (puntos porcentuales)]]/ABS(tblMSCalculada[[#This Row],[Materia seca registrada (%)]])</f>
        <v/>
      </c>
      <c r="P101" s="6">
        <f>AND(tblMSCalculada[[#This Row],[Diferencia absoluta de materia seca (puntos porcentuales)]]&gt;=5,tblMSCalculada[[#This Row],[Diferencia relativa de materia seca (proporción)]]&gt;=0.20)</f>
        <v/>
      </c>
      <c r="Q101" s="14" t="n">
        <v>5555</v>
      </c>
      <c r="R101" s="14">
        <f>tblMSCalculada[[#This Row],[Peso verde en un metro (g)]]*(tblMSCalculada[[#This Row],[Materia seca registrada (%)]]/100)*10/INDEX(tblMetadatos[Valor],MATCH("biomass_sample_area_m2",tblMetadatos[Parámetro],0))</f>
        <v/>
      </c>
      <c r="S101" s="14">
        <f>tblMSCalculada[[#This Row],[Peso verde en un metro (g)]]*(tblMSCalculada[[#This Row],[Materia seca reconstruida (%)]]/100)*10/INDEX(tblMetadatos[Valor],MATCH("biomass_sample_area_m2",tblMetadatos[Parámetro],0))</f>
        <v/>
      </c>
      <c r="T101" s="14">
        <f>tblMSCalculada[[#This Row],[Biomasa recalculada con materia seca registrada (kg MS/ha)]]-tblMSCalculada[[#This Row],[Biomasa informada en el libro histórico (kg MS/ha)]]</f>
        <v/>
      </c>
      <c r="U101" s="14">
        <f>tblMSCalculada[[#This Row],[Macollos en 30 cm (macollos/30 cm)]]*(100/30)*(100/INDEX(tblMetadatos[Valor],MATCH("row_spacing_cm",tblMetadatos[Parámetro],0)))</f>
        <v/>
      </c>
    </row>
    <row r="102">
      <c r="A102" s="6" t="inlineStr">
        <is>
          <t>dm_20251020_riego_m1_r3</t>
        </is>
      </c>
      <c r="B102" s="13">
        <f>INDEX(tblMSRegistrada[Fecha],MATCH(tblMSCalculada[[#This Row],[Identificador de observación]],tblMSRegistrada[Identificador de observación],0))</f>
        <v/>
      </c>
      <c r="C102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02" s="6">
        <f>INDEX(tblMSRegistrada[Sector hídrico],MATCH(tblMSCalculada[[#This Row],[Identificador de observación]],tblMSRegistrada[Identificador de observación],0))</f>
        <v/>
      </c>
      <c r="E102" s="6">
        <f>INDEX(tblMSRegistrada[Tratamiento],MATCH(tblMSCalculada[[#This Row],[Identificador de observación]],tblMSRegistrada[Identificador de observación],0))</f>
        <v/>
      </c>
      <c r="F102" s="6">
        <f>INDEX(tblMSRegistrada[Bloque],MATCH(tblMSCalculada[[#This Row],[Identificador de observación]],tblMSRegistrada[Identificador de observación],0))</f>
        <v/>
      </c>
      <c r="G102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02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02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02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02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02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02" s="14">
        <f>100*tblMSCalculada[[#This Row],[Peso seco (g)]]/tblMSCalculada[[#This Row],[Peso verde de la muestra (g)]]</f>
        <v/>
      </c>
      <c r="N102" s="14">
        <f>ABS(tblMSCalculada[[#This Row],[Materia seca registrada (%)]]-tblMSCalculada[[#This Row],[Materia seca reconstruida (%)]])</f>
        <v/>
      </c>
      <c r="O102" s="14">
        <f>tblMSCalculada[[#This Row],[Diferencia absoluta de materia seca (puntos porcentuales)]]/ABS(tblMSCalculada[[#This Row],[Materia seca registrada (%)]])</f>
        <v/>
      </c>
      <c r="P102" s="6">
        <f>AND(tblMSCalculada[[#This Row],[Diferencia absoluta de materia seca (puntos porcentuales)]]&gt;=5,tblMSCalculada[[#This Row],[Diferencia relativa de materia seca (proporción)]]&gt;=0.20)</f>
        <v/>
      </c>
      <c r="Q102" s="14" t="n">
        <v>11564</v>
      </c>
      <c r="R102" s="14">
        <f>tblMSCalculada[[#This Row],[Peso verde en un metro (g)]]*(tblMSCalculada[[#This Row],[Materia seca registrada (%)]]/100)*10/INDEX(tblMetadatos[Valor],MATCH("biomass_sample_area_m2",tblMetadatos[Parámetro],0))</f>
        <v/>
      </c>
      <c r="S102" s="14">
        <f>tblMSCalculada[[#This Row],[Peso verde en un metro (g)]]*(tblMSCalculada[[#This Row],[Materia seca reconstruida (%)]]/100)*10/INDEX(tblMetadatos[Valor],MATCH("biomass_sample_area_m2",tblMetadatos[Parámetro],0))</f>
        <v/>
      </c>
      <c r="T102" s="14">
        <f>tblMSCalculada[[#This Row],[Biomasa recalculada con materia seca registrada (kg MS/ha)]]-tblMSCalculada[[#This Row],[Biomasa informada en el libro histórico (kg MS/ha)]]</f>
        <v/>
      </c>
      <c r="U102" s="14">
        <f>tblMSCalculada[[#This Row],[Macollos en 30 cm (macollos/30 cm)]]*(100/30)*(100/INDEX(tblMetadatos[Valor],MATCH("row_spacing_cm",tblMetadatos[Parámetro],0)))</f>
        <v/>
      </c>
    </row>
    <row r="103">
      <c r="A103" s="6" t="inlineStr">
        <is>
          <t>dm_20251020_riego_m5_r3</t>
        </is>
      </c>
      <c r="B103" s="13">
        <f>INDEX(tblMSRegistrada[Fecha],MATCH(tblMSCalculada[[#This Row],[Identificador de observación]],tblMSRegistrada[Identificador de observación],0))</f>
        <v/>
      </c>
      <c r="C103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03" s="6">
        <f>INDEX(tblMSRegistrada[Sector hídrico],MATCH(tblMSCalculada[[#This Row],[Identificador de observación]],tblMSRegistrada[Identificador de observación],0))</f>
        <v/>
      </c>
      <c r="E103" s="6">
        <f>INDEX(tblMSRegistrada[Tratamiento],MATCH(tblMSCalculada[[#This Row],[Identificador de observación]],tblMSRegistrada[Identificador de observación],0))</f>
        <v/>
      </c>
      <c r="F103" s="6">
        <f>INDEX(tblMSRegistrada[Bloque],MATCH(tblMSCalculada[[#This Row],[Identificador de observación]],tblMSRegistrada[Identificador de observación],0))</f>
        <v/>
      </c>
      <c r="G103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03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03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03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03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03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03" s="14">
        <f>100*tblMSCalculada[[#This Row],[Peso seco (g)]]/tblMSCalculada[[#This Row],[Peso verde de la muestra (g)]]</f>
        <v/>
      </c>
      <c r="N103" s="14">
        <f>ABS(tblMSCalculada[[#This Row],[Materia seca registrada (%)]]-tblMSCalculada[[#This Row],[Materia seca reconstruida (%)]])</f>
        <v/>
      </c>
      <c r="O103" s="14">
        <f>tblMSCalculada[[#This Row],[Diferencia absoluta de materia seca (puntos porcentuales)]]/ABS(tblMSCalculada[[#This Row],[Materia seca registrada (%)]])</f>
        <v/>
      </c>
      <c r="P103" s="6">
        <f>AND(tblMSCalculada[[#This Row],[Diferencia absoluta de materia seca (puntos porcentuales)]]&gt;=5,tblMSCalculada[[#This Row],[Diferencia relativa de materia seca (proporción)]]&gt;=0.20)</f>
        <v/>
      </c>
      <c r="Q103" s="14" t="n">
        <v>9359</v>
      </c>
      <c r="R103" s="14">
        <f>tblMSCalculada[[#This Row],[Peso verde en un metro (g)]]*(tblMSCalculada[[#This Row],[Materia seca registrada (%)]]/100)*10/INDEX(tblMetadatos[Valor],MATCH("biomass_sample_area_m2",tblMetadatos[Parámetro],0))</f>
        <v/>
      </c>
      <c r="S103" s="14">
        <f>tblMSCalculada[[#This Row],[Peso verde en un metro (g)]]*(tblMSCalculada[[#This Row],[Materia seca reconstruida (%)]]/100)*10/INDEX(tblMetadatos[Valor],MATCH("biomass_sample_area_m2",tblMetadatos[Parámetro],0))</f>
        <v/>
      </c>
      <c r="T103" s="14">
        <f>tblMSCalculada[[#This Row],[Biomasa recalculada con materia seca registrada (kg MS/ha)]]-tblMSCalculada[[#This Row],[Biomasa informada en el libro histórico (kg MS/ha)]]</f>
        <v/>
      </c>
      <c r="U103" s="14">
        <f>tblMSCalculada[[#This Row],[Macollos en 30 cm (macollos/30 cm)]]*(100/30)*(100/INDEX(tblMetadatos[Valor],MATCH("row_spacing_cm",tblMetadatos[Parámetro],0)))</f>
        <v/>
      </c>
    </row>
    <row r="104">
      <c r="A104" s="6" t="inlineStr">
        <is>
          <t>dm_20251020_riego_m2_r3</t>
        </is>
      </c>
      <c r="B104" s="13">
        <f>INDEX(tblMSRegistrada[Fecha],MATCH(tblMSCalculada[[#This Row],[Identificador de observación]],tblMSRegistrada[Identificador de observación],0))</f>
        <v/>
      </c>
      <c r="C104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04" s="6">
        <f>INDEX(tblMSRegistrada[Sector hídrico],MATCH(tblMSCalculada[[#This Row],[Identificador de observación]],tblMSRegistrada[Identificador de observación],0))</f>
        <v/>
      </c>
      <c r="E104" s="6">
        <f>INDEX(tblMSRegistrada[Tratamiento],MATCH(tblMSCalculada[[#This Row],[Identificador de observación]],tblMSRegistrada[Identificador de observación],0))</f>
        <v/>
      </c>
      <c r="F104" s="6">
        <f>INDEX(tblMSRegistrada[Bloque],MATCH(tblMSCalculada[[#This Row],[Identificador de observación]],tblMSRegistrada[Identificador de observación],0))</f>
        <v/>
      </c>
      <c r="G104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04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04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04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04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04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04" s="14">
        <f>100*tblMSCalculada[[#This Row],[Peso seco (g)]]/tblMSCalculada[[#This Row],[Peso verde de la muestra (g)]]</f>
        <v/>
      </c>
      <c r="N104" s="14">
        <f>ABS(tblMSCalculada[[#This Row],[Materia seca registrada (%)]]-tblMSCalculada[[#This Row],[Materia seca reconstruida (%)]])</f>
        <v/>
      </c>
      <c r="O104" s="14">
        <f>tblMSCalculada[[#This Row],[Diferencia absoluta de materia seca (puntos porcentuales)]]/ABS(tblMSCalculada[[#This Row],[Materia seca registrada (%)]])</f>
        <v/>
      </c>
      <c r="P104" s="6">
        <f>AND(tblMSCalculada[[#This Row],[Diferencia absoluta de materia seca (puntos porcentuales)]]&gt;=5,tblMSCalculada[[#This Row],[Diferencia relativa de materia seca (proporción)]]&gt;=0.20)</f>
        <v/>
      </c>
      <c r="Q104" s="14" t="n">
        <v>12420</v>
      </c>
      <c r="R104" s="14">
        <f>tblMSCalculada[[#This Row],[Peso verde en un metro (g)]]*(tblMSCalculada[[#This Row],[Materia seca registrada (%)]]/100)*10/INDEX(tblMetadatos[Valor],MATCH("biomass_sample_area_m2",tblMetadatos[Parámetro],0))</f>
        <v/>
      </c>
      <c r="S104" s="14">
        <f>tblMSCalculada[[#This Row],[Peso verde en un metro (g)]]*(tblMSCalculada[[#This Row],[Materia seca reconstruida (%)]]/100)*10/INDEX(tblMetadatos[Valor],MATCH("biomass_sample_area_m2",tblMetadatos[Parámetro],0))</f>
        <v/>
      </c>
      <c r="T104" s="14">
        <f>tblMSCalculada[[#This Row],[Biomasa recalculada con materia seca registrada (kg MS/ha)]]-tblMSCalculada[[#This Row],[Biomasa informada en el libro histórico (kg MS/ha)]]</f>
        <v/>
      </c>
      <c r="U104" s="14">
        <f>tblMSCalculada[[#This Row],[Macollos en 30 cm (macollos/30 cm)]]*(100/30)*(100/INDEX(tblMetadatos[Valor],MATCH("row_spacing_cm",tblMetadatos[Parámetro],0)))</f>
        <v/>
      </c>
    </row>
    <row r="105">
      <c r="A105" s="6" t="inlineStr">
        <is>
          <t>dm_20251020_riego_m1_r4</t>
        </is>
      </c>
      <c r="B105" s="13">
        <f>INDEX(tblMSRegistrada[Fecha],MATCH(tblMSCalculada[[#This Row],[Identificador de observación]],tblMSRegistrada[Identificador de observación],0))</f>
        <v/>
      </c>
      <c r="C105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05" s="6">
        <f>INDEX(tblMSRegistrada[Sector hídrico],MATCH(tblMSCalculada[[#This Row],[Identificador de observación]],tblMSRegistrada[Identificador de observación],0))</f>
        <v/>
      </c>
      <c r="E105" s="6">
        <f>INDEX(tblMSRegistrada[Tratamiento],MATCH(tblMSCalculada[[#This Row],[Identificador de observación]],tblMSRegistrada[Identificador de observación],0))</f>
        <v/>
      </c>
      <c r="F105" s="6">
        <f>INDEX(tblMSRegistrada[Bloque],MATCH(tblMSCalculada[[#This Row],[Identificador de observación]],tblMSRegistrada[Identificador de observación],0))</f>
        <v/>
      </c>
      <c r="G105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05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05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05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05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05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05" s="14">
        <f>100*tblMSCalculada[[#This Row],[Peso seco (g)]]/tblMSCalculada[[#This Row],[Peso verde de la muestra (g)]]</f>
        <v/>
      </c>
      <c r="N105" s="14">
        <f>ABS(tblMSCalculada[[#This Row],[Materia seca registrada (%)]]-tblMSCalculada[[#This Row],[Materia seca reconstruida (%)]])</f>
        <v/>
      </c>
      <c r="O105" s="14">
        <f>tblMSCalculada[[#This Row],[Diferencia absoluta de materia seca (puntos porcentuales)]]/ABS(tblMSCalculada[[#This Row],[Materia seca registrada (%)]])</f>
        <v/>
      </c>
      <c r="P105" s="6">
        <f>AND(tblMSCalculada[[#This Row],[Diferencia absoluta de materia seca (puntos porcentuales)]]&gt;=5,tblMSCalculada[[#This Row],[Diferencia relativa de materia seca (proporción)]]&gt;=0.20)</f>
        <v/>
      </c>
      <c r="Q105" s="14" t="n">
        <v>15748</v>
      </c>
      <c r="R105" s="14">
        <f>tblMSCalculada[[#This Row],[Peso verde en un metro (g)]]*(tblMSCalculada[[#This Row],[Materia seca registrada (%)]]/100)*10/INDEX(tblMetadatos[Valor],MATCH("biomass_sample_area_m2",tblMetadatos[Parámetro],0))</f>
        <v/>
      </c>
      <c r="S105" s="14">
        <f>tblMSCalculada[[#This Row],[Peso verde en un metro (g)]]*(tblMSCalculada[[#This Row],[Materia seca reconstruida (%)]]/100)*10/INDEX(tblMetadatos[Valor],MATCH("biomass_sample_area_m2",tblMetadatos[Parámetro],0))</f>
        <v/>
      </c>
      <c r="T105" s="14">
        <f>tblMSCalculada[[#This Row],[Biomasa recalculada con materia seca registrada (kg MS/ha)]]-tblMSCalculada[[#This Row],[Biomasa informada en el libro histórico (kg MS/ha)]]</f>
        <v/>
      </c>
      <c r="U105" s="14">
        <f>tblMSCalculada[[#This Row],[Macollos en 30 cm (macollos/30 cm)]]*(100/30)*(100/INDEX(tblMetadatos[Valor],MATCH("row_spacing_cm",tblMetadatos[Parámetro],0)))</f>
        <v/>
      </c>
    </row>
    <row r="106">
      <c r="A106" s="6" t="inlineStr">
        <is>
          <t>dm_20251020_riego_m0_r4</t>
        </is>
      </c>
      <c r="B106" s="13">
        <f>INDEX(tblMSRegistrada[Fecha],MATCH(tblMSCalculada[[#This Row],[Identificador de observación]],tblMSRegistrada[Identificador de observación],0))</f>
        <v/>
      </c>
      <c r="C106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06" s="6">
        <f>INDEX(tblMSRegistrada[Sector hídrico],MATCH(tblMSCalculada[[#This Row],[Identificador de observación]],tblMSRegistrada[Identificador de observación],0))</f>
        <v/>
      </c>
      <c r="E106" s="6">
        <f>INDEX(tblMSRegistrada[Tratamiento],MATCH(tblMSCalculada[[#This Row],[Identificador de observación]],tblMSRegistrada[Identificador de observación],0))</f>
        <v/>
      </c>
      <c r="F106" s="6">
        <f>INDEX(tblMSRegistrada[Bloque],MATCH(tblMSCalculada[[#This Row],[Identificador de observación]],tblMSRegistrada[Identificador de observación],0))</f>
        <v/>
      </c>
      <c r="G106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06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06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06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06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06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06" s="14">
        <f>100*tblMSCalculada[[#This Row],[Peso seco (g)]]/tblMSCalculada[[#This Row],[Peso verde de la muestra (g)]]</f>
        <v/>
      </c>
      <c r="N106" s="14">
        <f>ABS(tblMSCalculada[[#This Row],[Materia seca registrada (%)]]-tblMSCalculada[[#This Row],[Materia seca reconstruida (%)]])</f>
        <v/>
      </c>
      <c r="O106" s="14">
        <f>tblMSCalculada[[#This Row],[Diferencia absoluta de materia seca (puntos porcentuales)]]/ABS(tblMSCalculada[[#This Row],[Materia seca registrada (%)]])</f>
        <v/>
      </c>
      <c r="P106" s="6">
        <f>AND(tblMSCalculada[[#This Row],[Diferencia absoluta de materia seca (puntos porcentuales)]]&gt;=5,tblMSCalculada[[#This Row],[Diferencia relativa de materia seca (proporción)]]&gt;=0.20)</f>
        <v/>
      </c>
      <c r="Q106" s="14" t="n">
        <v>6677</v>
      </c>
      <c r="R106" s="14">
        <f>tblMSCalculada[[#This Row],[Peso verde en un metro (g)]]*(tblMSCalculada[[#This Row],[Materia seca registrada (%)]]/100)*10/INDEX(tblMetadatos[Valor],MATCH("biomass_sample_area_m2",tblMetadatos[Parámetro],0))</f>
        <v/>
      </c>
      <c r="S106" s="14">
        <f>tblMSCalculada[[#This Row],[Peso verde en un metro (g)]]*(tblMSCalculada[[#This Row],[Materia seca reconstruida (%)]]/100)*10/INDEX(tblMetadatos[Valor],MATCH("biomass_sample_area_m2",tblMetadatos[Parámetro],0))</f>
        <v/>
      </c>
      <c r="T106" s="14">
        <f>tblMSCalculada[[#This Row],[Biomasa recalculada con materia seca registrada (kg MS/ha)]]-tblMSCalculada[[#This Row],[Biomasa informada en el libro histórico (kg MS/ha)]]</f>
        <v/>
      </c>
      <c r="U106" s="14">
        <f>tblMSCalculada[[#This Row],[Macollos en 30 cm (macollos/30 cm)]]*(100/30)*(100/INDEX(tblMetadatos[Valor],MATCH("row_spacing_cm",tblMetadatos[Parámetro],0)))</f>
        <v/>
      </c>
    </row>
    <row r="107">
      <c r="A107" s="6" t="inlineStr">
        <is>
          <t>dm_20251020_riego_m5_r4</t>
        </is>
      </c>
      <c r="B107" s="13">
        <f>INDEX(tblMSRegistrada[Fecha],MATCH(tblMSCalculada[[#This Row],[Identificador de observación]],tblMSRegistrada[Identificador de observación],0))</f>
        <v/>
      </c>
      <c r="C107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07" s="6">
        <f>INDEX(tblMSRegistrada[Sector hídrico],MATCH(tblMSCalculada[[#This Row],[Identificador de observación]],tblMSRegistrada[Identificador de observación],0))</f>
        <v/>
      </c>
      <c r="E107" s="6">
        <f>INDEX(tblMSRegistrada[Tratamiento],MATCH(tblMSCalculada[[#This Row],[Identificador de observación]],tblMSRegistrada[Identificador de observación],0))</f>
        <v/>
      </c>
      <c r="F107" s="6">
        <f>INDEX(tblMSRegistrada[Bloque],MATCH(tblMSCalculada[[#This Row],[Identificador de observación]],tblMSRegistrada[Identificador de observación],0))</f>
        <v/>
      </c>
      <c r="G107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07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07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07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07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07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07" s="14">
        <f>100*tblMSCalculada[[#This Row],[Peso seco (g)]]/tblMSCalculada[[#This Row],[Peso verde de la muestra (g)]]</f>
        <v/>
      </c>
      <c r="N107" s="14">
        <f>ABS(tblMSCalculada[[#This Row],[Materia seca registrada (%)]]-tblMSCalculada[[#This Row],[Materia seca reconstruida (%)]])</f>
        <v/>
      </c>
      <c r="O107" s="14">
        <f>tblMSCalculada[[#This Row],[Diferencia absoluta de materia seca (puntos porcentuales)]]/ABS(tblMSCalculada[[#This Row],[Materia seca registrada (%)]])</f>
        <v/>
      </c>
      <c r="P107" s="6">
        <f>AND(tblMSCalculada[[#This Row],[Diferencia absoluta de materia seca (puntos porcentuales)]]&gt;=5,tblMSCalculada[[#This Row],[Diferencia relativa de materia seca (proporción)]]&gt;=0.20)</f>
        <v/>
      </c>
      <c r="Q107" s="14" t="n">
        <v>12688</v>
      </c>
      <c r="R107" s="14">
        <f>tblMSCalculada[[#This Row],[Peso verde en un metro (g)]]*(tblMSCalculada[[#This Row],[Materia seca registrada (%)]]/100)*10/INDEX(tblMetadatos[Valor],MATCH("biomass_sample_area_m2",tblMetadatos[Parámetro],0))</f>
        <v/>
      </c>
      <c r="S107" s="14">
        <f>tblMSCalculada[[#This Row],[Peso verde en un metro (g)]]*(tblMSCalculada[[#This Row],[Materia seca reconstruida (%)]]/100)*10/INDEX(tblMetadatos[Valor],MATCH("biomass_sample_area_m2",tblMetadatos[Parámetro],0))</f>
        <v/>
      </c>
      <c r="T107" s="14">
        <f>tblMSCalculada[[#This Row],[Biomasa recalculada con materia seca registrada (kg MS/ha)]]-tblMSCalculada[[#This Row],[Biomasa informada en el libro histórico (kg MS/ha)]]</f>
        <v/>
      </c>
      <c r="U107" s="14">
        <f>tblMSCalculada[[#This Row],[Macollos en 30 cm (macollos/30 cm)]]*(100/30)*(100/INDEX(tblMetadatos[Valor],MATCH("row_spacing_cm",tblMetadatos[Parámetro],0)))</f>
        <v/>
      </c>
    </row>
    <row r="108">
      <c r="A108" s="6" t="inlineStr">
        <is>
          <t>dm_20251020_riego_m4_r4</t>
        </is>
      </c>
      <c r="B108" s="13">
        <f>INDEX(tblMSRegistrada[Fecha],MATCH(tblMSCalculada[[#This Row],[Identificador de observación]],tblMSRegistrada[Identificador de observación],0))</f>
        <v/>
      </c>
      <c r="C108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08" s="6">
        <f>INDEX(tblMSRegistrada[Sector hídrico],MATCH(tblMSCalculada[[#This Row],[Identificador de observación]],tblMSRegistrada[Identificador de observación],0))</f>
        <v/>
      </c>
      <c r="E108" s="6">
        <f>INDEX(tblMSRegistrada[Tratamiento],MATCH(tblMSCalculada[[#This Row],[Identificador de observación]],tblMSRegistrada[Identificador de observación],0))</f>
        <v/>
      </c>
      <c r="F108" s="6">
        <f>INDEX(tblMSRegistrada[Bloque],MATCH(tblMSCalculada[[#This Row],[Identificador de observación]],tblMSRegistrada[Identificador de observación],0))</f>
        <v/>
      </c>
      <c r="G108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08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08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08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08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08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08" s="14">
        <f>100*tblMSCalculada[[#This Row],[Peso seco (g)]]/tblMSCalculada[[#This Row],[Peso verde de la muestra (g)]]</f>
        <v/>
      </c>
      <c r="N108" s="14">
        <f>ABS(tblMSCalculada[[#This Row],[Materia seca registrada (%)]]-tblMSCalculada[[#This Row],[Materia seca reconstruida (%)]])</f>
        <v/>
      </c>
      <c r="O108" s="14">
        <f>tblMSCalculada[[#This Row],[Diferencia absoluta de materia seca (puntos porcentuales)]]/ABS(tblMSCalculada[[#This Row],[Materia seca registrada (%)]])</f>
        <v/>
      </c>
      <c r="P108" s="6">
        <f>AND(tblMSCalculada[[#This Row],[Diferencia absoluta de materia seca (puntos porcentuales)]]&gt;=5,tblMSCalculada[[#This Row],[Diferencia relativa de materia seca (proporción)]]&gt;=0.20)</f>
        <v/>
      </c>
      <c r="Q108" s="14" t="n">
        <v>10197</v>
      </c>
      <c r="R108" s="14">
        <f>tblMSCalculada[[#This Row],[Peso verde en un metro (g)]]*(tblMSCalculada[[#This Row],[Materia seca registrada (%)]]/100)*10/INDEX(tblMetadatos[Valor],MATCH("biomass_sample_area_m2",tblMetadatos[Parámetro],0))</f>
        <v/>
      </c>
      <c r="S108" s="14">
        <f>tblMSCalculada[[#This Row],[Peso verde en un metro (g)]]*(tblMSCalculada[[#This Row],[Materia seca reconstruida (%)]]/100)*10/INDEX(tblMetadatos[Valor],MATCH("biomass_sample_area_m2",tblMetadatos[Parámetro],0))</f>
        <v/>
      </c>
      <c r="T108" s="14">
        <f>tblMSCalculada[[#This Row],[Biomasa recalculada con materia seca registrada (kg MS/ha)]]-tblMSCalculada[[#This Row],[Biomasa informada en el libro histórico (kg MS/ha)]]</f>
        <v/>
      </c>
      <c r="U108" s="14">
        <f>tblMSCalculada[[#This Row],[Macollos en 30 cm (macollos/30 cm)]]*(100/30)*(100/INDEX(tblMetadatos[Valor],MATCH("row_spacing_cm",tblMetadatos[Parámetro],0)))</f>
        <v/>
      </c>
    </row>
    <row r="109">
      <c r="A109" s="6" t="inlineStr">
        <is>
          <t>dm_20251020_riego_m3_r4</t>
        </is>
      </c>
      <c r="B109" s="13">
        <f>INDEX(tblMSRegistrada[Fecha],MATCH(tblMSCalculada[[#This Row],[Identificador de observación]],tblMSRegistrada[Identificador de observación],0))</f>
        <v/>
      </c>
      <c r="C109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09" s="6">
        <f>INDEX(tblMSRegistrada[Sector hídrico],MATCH(tblMSCalculada[[#This Row],[Identificador de observación]],tblMSRegistrada[Identificador de observación],0))</f>
        <v/>
      </c>
      <c r="E109" s="6">
        <f>INDEX(tblMSRegistrada[Tratamiento],MATCH(tblMSCalculada[[#This Row],[Identificador de observación]],tblMSRegistrada[Identificador de observación],0))</f>
        <v/>
      </c>
      <c r="F109" s="6">
        <f>INDEX(tblMSRegistrada[Bloque],MATCH(tblMSCalculada[[#This Row],[Identificador de observación]],tblMSRegistrada[Identificador de observación],0))</f>
        <v/>
      </c>
      <c r="G109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09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09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09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09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09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09" s="14">
        <f>100*tblMSCalculada[[#This Row],[Peso seco (g)]]/tblMSCalculada[[#This Row],[Peso verde de la muestra (g)]]</f>
        <v/>
      </c>
      <c r="N109" s="14">
        <f>ABS(tblMSCalculada[[#This Row],[Materia seca registrada (%)]]-tblMSCalculada[[#This Row],[Materia seca reconstruida (%)]])</f>
        <v/>
      </c>
      <c r="O109" s="14">
        <f>tblMSCalculada[[#This Row],[Diferencia absoluta de materia seca (puntos porcentuales)]]/ABS(tblMSCalculada[[#This Row],[Materia seca registrada (%)]])</f>
        <v/>
      </c>
      <c r="P109" s="6">
        <f>AND(tblMSCalculada[[#This Row],[Diferencia absoluta de materia seca (puntos porcentuales)]]&gt;=5,tblMSCalculada[[#This Row],[Diferencia relativa de materia seca (proporción)]]&gt;=0.20)</f>
        <v/>
      </c>
      <c r="Q109" s="14" t="n">
        <v>9785</v>
      </c>
      <c r="R109" s="14">
        <f>tblMSCalculada[[#This Row],[Peso verde en un metro (g)]]*(tblMSCalculada[[#This Row],[Materia seca registrada (%)]]/100)*10/INDEX(tblMetadatos[Valor],MATCH("biomass_sample_area_m2",tblMetadatos[Parámetro],0))</f>
        <v/>
      </c>
      <c r="S109" s="14">
        <f>tblMSCalculada[[#This Row],[Peso verde en un metro (g)]]*(tblMSCalculada[[#This Row],[Materia seca reconstruida (%)]]/100)*10/INDEX(tblMetadatos[Valor],MATCH("biomass_sample_area_m2",tblMetadatos[Parámetro],0))</f>
        <v/>
      </c>
      <c r="T109" s="14">
        <f>tblMSCalculada[[#This Row],[Biomasa recalculada con materia seca registrada (kg MS/ha)]]-tblMSCalculada[[#This Row],[Biomasa informada en el libro histórico (kg MS/ha)]]</f>
        <v/>
      </c>
      <c r="U109" s="14">
        <f>tblMSCalculada[[#This Row],[Macollos en 30 cm (macollos/30 cm)]]*(100/30)*(100/INDEX(tblMetadatos[Valor],MATCH("row_spacing_cm",tblMetadatos[Parámetro],0)))</f>
        <v/>
      </c>
    </row>
    <row r="110">
      <c r="A110" s="6" t="inlineStr">
        <is>
          <t>dm_20251020_riego_m2_r4</t>
        </is>
      </c>
      <c r="B110" s="13">
        <f>INDEX(tblMSRegistrada[Fecha],MATCH(tblMSCalculada[[#This Row],[Identificador de observación]],tblMSRegistrada[Identificador de observación],0))</f>
        <v/>
      </c>
      <c r="C110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10" s="6">
        <f>INDEX(tblMSRegistrada[Sector hídrico],MATCH(tblMSCalculada[[#This Row],[Identificador de observación]],tblMSRegistrada[Identificador de observación],0))</f>
        <v/>
      </c>
      <c r="E110" s="6">
        <f>INDEX(tblMSRegistrada[Tratamiento],MATCH(tblMSCalculada[[#This Row],[Identificador de observación]],tblMSRegistrada[Identificador de observación],0))</f>
        <v/>
      </c>
      <c r="F110" s="6">
        <f>INDEX(tblMSRegistrada[Bloque],MATCH(tblMSCalculada[[#This Row],[Identificador de observación]],tblMSRegistrada[Identificador de observación],0))</f>
        <v/>
      </c>
      <c r="G110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10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10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10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10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10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10" s="14">
        <f>100*tblMSCalculada[[#This Row],[Peso seco (g)]]/tblMSCalculada[[#This Row],[Peso verde de la muestra (g)]]</f>
        <v/>
      </c>
      <c r="N110" s="14">
        <f>ABS(tblMSCalculada[[#This Row],[Materia seca registrada (%)]]-tblMSCalculada[[#This Row],[Materia seca reconstruida (%)]])</f>
        <v/>
      </c>
      <c r="O110" s="14">
        <f>tblMSCalculada[[#This Row],[Diferencia absoluta de materia seca (puntos porcentuales)]]/ABS(tblMSCalculada[[#This Row],[Materia seca registrada (%)]])</f>
        <v/>
      </c>
      <c r="P110" s="6">
        <f>AND(tblMSCalculada[[#This Row],[Diferencia absoluta de materia seca (puntos porcentuales)]]&gt;=5,tblMSCalculada[[#This Row],[Diferencia relativa de materia seca (proporción)]]&gt;=0.20)</f>
        <v/>
      </c>
      <c r="Q110" s="14" t="n">
        <v>14094</v>
      </c>
      <c r="R110" s="14">
        <f>tblMSCalculada[[#This Row],[Peso verde en un metro (g)]]*(tblMSCalculada[[#This Row],[Materia seca registrada (%)]]/100)*10/INDEX(tblMetadatos[Valor],MATCH("biomass_sample_area_m2",tblMetadatos[Parámetro],0))</f>
        <v/>
      </c>
      <c r="S110" s="14">
        <f>tblMSCalculada[[#This Row],[Peso verde en un metro (g)]]*(tblMSCalculada[[#This Row],[Materia seca reconstruida (%)]]/100)*10/INDEX(tblMetadatos[Valor],MATCH("biomass_sample_area_m2",tblMetadatos[Parámetro],0))</f>
        <v/>
      </c>
      <c r="T110" s="14">
        <f>tblMSCalculada[[#This Row],[Biomasa recalculada con materia seca registrada (kg MS/ha)]]-tblMSCalculada[[#This Row],[Biomasa informada en el libro histórico (kg MS/ha)]]</f>
        <v/>
      </c>
      <c r="U110" s="14">
        <f>tblMSCalculada[[#This Row],[Macollos en 30 cm (macollos/30 cm)]]*(100/30)*(100/INDEX(tblMetadatos[Valor],MATCH("row_spacing_cm",tblMetadatos[Parámetro],0)))</f>
        <v/>
      </c>
    </row>
    <row r="111">
      <c r="A111" s="6" t="inlineStr">
        <is>
          <t>dm_20251112_secano_m0_r1</t>
        </is>
      </c>
      <c r="B111" s="13">
        <f>INDEX(tblMSRegistrada[Fecha],MATCH(tblMSCalculada[[#This Row],[Identificador de observación]],tblMSRegistrada[Identificador de observación],0))</f>
        <v/>
      </c>
      <c r="C111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11" s="6">
        <f>INDEX(tblMSRegistrada[Sector hídrico],MATCH(tblMSCalculada[[#This Row],[Identificador de observación]],tblMSRegistrada[Identificador de observación],0))</f>
        <v/>
      </c>
      <c r="E111" s="6">
        <f>INDEX(tblMSRegistrada[Tratamiento],MATCH(tblMSCalculada[[#This Row],[Identificador de observación]],tblMSRegistrada[Identificador de observación],0))</f>
        <v/>
      </c>
      <c r="F111" s="6">
        <f>INDEX(tblMSRegistrada[Bloque],MATCH(tblMSCalculada[[#This Row],[Identificador de observación]],tblMSRegistrada[Identificador de observación],0))</f>
        <v/>
      </c>
      <c r="G111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11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11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11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11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11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11" s="14">
        <f>100*tblMSCalculada[[#This Row],[Peso seco (g)]]/tblMSCalculada[[#This Row],[Peso verde de la muestra (g)]]</f>
        <v/>
      </c>
      <c r="N111" s="14">
        <f>ABS(tblMSCalculada[[#This Row],[Materia seca registrada (%)]]-tblMSCalculada[[#This Row],[Materia seca reconstruida (%)]])</f>
        <v/>
      </c>
      <c r="O111" s="14">
        <f>tblMSCalculada[[#This Row],[Diferencia absoluta de materia seca (puntos porcentuales)]]/ABS(tblMSCalculada[[#This Row],[Materia seca registrada (%)]])</f>
        <v/>
      </c>
      <c r="P111" s="6">
        <f>AND(tblMSCalculada[[#This Row],[Diferencia absoluta de materia seca (puntos porcentuales)]]&gt;=5,tblMSCalculada[[#This Row],[Diferencia relativa de materia seca (proporción)]]&gt;=0.20)</f>
        <v/>
      </c>
      <c r="Q111" s="14" t="n">
        <v>10222.5</v>
      </c>
      <c r="R111" s="14">
        <f>tblMSCalculada[[#This Row],[Peso verde en un metro (g)]]*(tblMSCalculada[[#This Row],[Materia seca registrada (%)]]/100)*10/INDEX(tblMetadatos[Valor],MATCH("biomass_sample_area_m2",tblMetadatos[Parámetro],0))</f>
        <v/>
      </c>
      <c r="S111" s="14">
        <f>tblMSCalculada[[#This Row],[Peso verde en un metro (g)]]*(tblMSCalculada[[#This Row],[Materia seca reconstruida (%)]]/100)*10/INDEX(tblMetadatos[Valor],MATCH("biomass_sample_area_m2",tblMetadatos[Parámetro],0))</f>
        <v/>
      </c>
      <c r="T111" s="14">
        <f>tblMSCalculada[[#This Row],[Biomasa recalculada con materia seca registrada (kg MS/ha)]]-tblMSCalculada[[#This Row],[Biomasa informada en el libro histórico (kg MS/ha)]]</f>
        <v/>
      </c>
      <c r="U111" s="14">
        <f>tblMSCalculada[[#This Row],[Macollos en 30 cm (macollos/30 cm)]]*(100/30)*(100/INDEX(tblMetadatos[Valor],MATCH("row_spacing_cm",tblMetadatos[Parámetro],0)))</f>
        <v/>
      </c>
    </row>
    <row r="112">
      <c r="A112" s="6" t="inlineStr">
        <is>
          <t>dm_20251112_secano_m1_r1</t>
        </is>
      </c>
      <c r="B112" s="13">
        <f>INDEX(tblMSRegistrada[Fecha],MATCH(tblMSCalculada[[#This Row],[Identificador de observación]],tblMSRegistrada[Identificador de observación],0))</f>
        <v/>
      </c>
      <c r="C112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12" s="6">
        <f>INDEX(tblMSRegistrada[Sector hídrico],MATCH(tblMSCalculada[[#This Row],[Identificador de observación]],tblMSRegistrada[Identificador de observación],0))</f>
        <v/>
      </c>
      <c r="E112" s="6">
        <f>INDEX(tblMSRegistrada[Tratamiento],MATCH(tblMSCalculada[[#This Row],[Identificador de observación]],tblMSRegistrada[Identificador de observación],0))</f>
        <v/>
      </c>
      <c r="F112" s="6">
        <f>INDEX(tblMSRegistrada[Bloque],MATCH(tblMSCalculada[[#This Row],[Identificador de observación]],tblMSRegistrada[Identificador de observación],0))</f>
        <v/>
      </c>
      <c r="G112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12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12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12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12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12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12" s="14">
        <f>100*tblMSCalculada[[#This Row],[Peso seco (g)]]/tblMSCalculada[[#This Row],[Peso verde de la muestra (g)]]</f>
        <v/>
      </c>
      <c r="N112" s="14">
        <f>ABS(tblMSCalculada[[#This Row],[Materia seca registrada (%)]]-tblMSCalculada[[#This Row],[Materia seca reconstruida (%)]])</f>
        <v/>
      </c>
      <c r="O112" s="14">
        <f>tblMSCalculada[[#This Row],[Diferencia absoluta de materia seca (puntos porcentuales)]]/ABS(tblMSCalculada[[#This Row],[Materia seca registrada (%)]])</f>
        <v/>
      </c>
      <c r="P112" s="6">
        <f>AND(tblMSCalculada[[#This Row],[Diferencia absoluta de materia seca (puntos porcentuales)]]&gt;=5,tblMSCalculada[[#This Row],[Diferencia relativa de materia seca (proporción)]]&gt;=0.20)</f>
        <v/>
      </c>
      <c r="Q112" s="14" t="n">
        <v>13121.36842105263</v>
      </c>
      <c r="R112" s="14">
        <f>tblMSCalculada[[#This Row],[Peso verde en un metro (g)]]*(tblMSCalculada[[#This Row],[Materia seca registrada (%)]]/100)*10/INDEX(tblMetadatos[Valor],MATCH("biomass_sample_area_m2",tblMetadatos[Parámetro],0))</f>
        <v/>
      </c>
      <c r="S112" s="14">
        <f>tblMSCalculada[[#This Row],[Peso verde en un metro (g)]]*(tblMSCalculada[[#This Row],[Materia seca reconstruida (%)]]/100)*10/INDEX(tblMetadatos[Valor],MATCH("biomass_sample_area_m2",tblMetadatos[Parámetro],0))</f>
        <v/>
      </c>
      <c r="T112" s="14">
        <f>tblMSCalculada[[#This Row],[Biomasa recalculada con materia seca registrada (kg MS/ha)]]-tblMSCalculada[[#This Row],[Biomasa informada en el libro histórico (kg MS/ha)]]</f>
        <v/>
      </c>
      <c r="U112" s="14">
        <f>tblMSCalculada[[#This Row],[Macollos en 30 cm (macollos/30 cm)]]*(100/30)*(100/INDEX(tblMetadatos[Valor],MATCH("row_spacing_cm",tblMetadatos[Parámetro],0)))</f>
        <v/>
      </c>
    </row>
    <row r="113">
      <c r="A113" s="6" t="inlineStr">
        <is>
          <t>dm_20251112_secano_m2_r1</t>
        </is>
      </c>
      <c r="B113" s="13">
        <f>INDEX(tblMSRegistrada[Fecha],MATCH(tblMSCalculada[[#This Row],[Identificador de observación]],tblMSRegistrada[Identificador de observación],0))</f>
        <v/>
      </c>
      <c r="C113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13" s="6">
        <f>INDEX(tblMSRegistrada[Sector hídrico],MATCH(tblMSCalculada[[#This Row],[Identificador de observación]],tblMSRegistrada[Identificador de observación],0))</f>
        <v/>
      </c>
      <c r="E113" s="6">
        <f>INDEX(tblMSRegistrada[Tratamiento],MATCH(tblMSCalculada[[#This Row],[Identificador de observación]],tblMSRegistrada[Identificador de observación],0))</f>
        <v/>
      </c>
      <c r="F113" s="6">
        <f>INDEX(tblMSRegistrada[Bloque],MATCH(tblMSCalculada[[#This Row],[Identificador de observación]],tblMSRegistrada[Identificador de observación],0))</f>
        <v/>
      </c>
      <c r="G113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13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13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13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13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13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13" s="14">
        <f>100*tblMSCalculada[[#This Row],[Peso seco (g)]]/tblMSCalculada[[#This Row],[Peso verde de la muestra (g)]]</f>
        <v/>
      </c>
      <c r="N113" s="14">
        <f>ABS(tblMSCalculada[[#This Row],[Materia seca registrada (%)]]-tblMSCalculada[[#This Row],[Materia seca reconstruida (%)]])</f>
        <v/>
      </c>
      <c r="O113" s="14">
        <f>tblMSCalculada[[#This Row],[Diferencia absoluta de materia seca (puntos porcentuales)]]/ABS(tblMSCalculada[[#This Row],[Materia seca registrada (%)]])</f>
        <v/>
      </c>
      <c r="P113" s="6">
        <f>AND(tblMSCalculada[[#This Row],[Diferencia absoluta de materia seca (puntos porcentuales)]]&gt;=5,tblMSCalculada[[#This Row],[Diferencia relativa de materia seca (proporción)]]&gt;=0.20)</f>
        <v/>
      </c>
      <c r="Q113" s="14" t="n">
        <v>13048.68421052632</v>
      </c>
      <c r="R113" s="14">
        <f>tblMSCalculada[[#This Row],[Peso verde en un metro (g)]]*(tblMSCalculada[[#This Row],[Materia seca registrada (%)]]/100)*10/INDEX(tblMetadatos[Valor],MATCH("biomass_sample_area_m2",tblMetadatos[Parámetro],0))</f>
        <v/>
      </c>
      <c r="S113" s="14">
        <f>tblMSCalculada[[#This Row],[Peso verde en un metro (g)]]*(tblMSCalculada[[#This Row],[Materia seca reconstruida (%)]]/100)*10/INDEX(tblMetadatos[Valor],MATCH("biomass_sample_area_m2",tblMetadatos[Parámetro],0))</f>
        <v/>
      </c>
      <c r="T113" s="14">
        <f>tblMSCalculada[[#This Row],[Biomasa recalculada con materia seca registrada (kg MS/ha)]]-tblMSCalculada[[#This Row],[Biomasa informada en el libro histórico (kg MS/ha)]]</f>
        <v/>
      </c>
      <c r="U113" s="14">
        <f>tblMSCalculada[[#This Row],[Macollos en 30 cm (macollos/30 cm)]]*(100/30)*(100/INDEX(tblMetadatos[Valor],MATCH("row_spacing_cm",tblMetadatos[Parámetro],0)))</f>
        <v/>
      </c>
    </row>
    <row r="114">
      <c r="A114" s="6" t="inlineStr">
        <is>
          <t>dm_20251112_secano_m3_r1</t>
        </is>
      </c>
      <c r="B114" s="13">
        <f>INDEX(tblMSRegistrada[Fecha],MATCH(tblMSCalculada[[#This Row],[Identificador de observación]],tblMSRegistrada[Identificador de observación],0))</f>
        <v/>
      </c>
      <c r="C114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14" s="6">
        <f>INDEX(tblMSRegistrada[Sector hídrico],MATCH(tblMSCalculada[[#This Row],[Identificador de observación]],tblMSRegistrada[Identificador de observación],0))</f>
        <v/>
      </c>
      <c r="E114" s="6">
        <f>INDEX(tblMSRegistrada[Tratamiento],MATCH(tblMSCalculada[[#This Row],[Identificador de observación]],tblMSRegistrada[Identificador de observación],0))</f>
        <v/>
      </c>
      <c r="F114" s="6">
        <f>INDEX(tblMSRegistrada[Bloque],MATCH(tblMSCalculada[[#This Row],[Identificador de observación]],tblMSRegistrada[Identificador de observación],0))</f>
        <v/>
      </c>
      <c r="G114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14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14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14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14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14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14" s="14">
        <f>100*tblMSCalculada[[#This Row],[Peso seco (g)]]/tblMSCalculada[[#This Row],[Peso verde de la muestra (g)]]</f>
        <v/>
      </c>
      <c r="N114" s="14">
        <f>ABS(tblMSCalculada[[#This Row],[Materia seca registrada (%)]]-tblMSCalculada[[#This Row],[Materia seca reconstruida (%)]])</f>
        <v/>
      </c>
      <c r="O114" s="14">
        <f>tblMSCalculada[[#This Row],[Diferencia absoluta de materia seca (puntos porcentuales)]]/ABS(tblMSCalculada[[#This Row],[Materia seca registrada (%)]])</f>
        <v/>
      </c>
      <c r="P114" s="6">
        <f>AND(tblMSCalculada[[#This Row],[Diferencia absoluta de materia seca (puntos porcentuales)]]&gt;=5,tblMSCalculada[[#This Row],[Diferencia relativa de materia seca (proporción)]]&gt;=0.20)</f>
        <v/>
      </c>
      <c r="Q114" s="14" t="n">
        <v>14020.63157894737</v>
      </c>
      <c r="R114" s="14">
        <f>tblMSCalculada[[#This Row],[Peso verde en un metro (g)]]*(tblMSCalculada[[#This Row],[Materia seca registrada (%)]]/100)*10/INDEX(tblMetadatos[Valor],MATCH("biomass_sample_area_m2",tblMetadatos[Parámetro],0))</f>
        <v/>
      </c>
      <c r="S114" s="14">
        <f>tblMSCalculada[[#This Row],[Peso verde en un metro (g)]]*(tblMSCalculada[[#This Row],[Materia seca reconstruida (%)]]/100)*10/INDEX(tblMetadatos[Valor],MATCH("biomass_sample_area_m2",tblMetadatos[Parámetro],0))</f>
        <v/>
      </c>
      <c r="T114" s="14">
        <f>tblMSCalculada[[#This Row],[Biomasa recalculada con materia seca registrada (kg MS/ha)]]-tblMSCalculada[[#This Row],[Biomasa informada en el libro histórico (kg MS/ha)]]</f>
        <v/>
      </c>
      <c r="U114" s="14">
        <f>tblMSCalculada[[#This Row],[Macollos en 30 cm (macollos/30 cm)]]*(100/30)*(100/INDEX(tblMetadatos[Valor],MATCH("row_spacing_cm",tblMetadatos[Parámetro],0)))</f>
        <v/>
      </c>
    </row>
    <row r="115">
      <c r="A115" s="6" t="inlineStr">
        <is>
          <t>dm_20251112_secano_m4_r1</t>
        </is>
      </c>
      <c r="B115" s="13">
        <f>INDEX(tblMSRegistrada[Fecha],MATCH(tblMSCalculada[[#This Row],[Identificador de observación]],tblMSRegistrada[Identificador de observación],0))</f>
        <v/>
      </c>
      <c r="C115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15" s="6">
        <f>INDEX(tblMSRegistrada[Sector hídrico],MATCH(tblMSCalculada[[#This Row],[Identificador de observación]],tblMSRegistrada[Identificador de observación],0))</f>
        <v/>
      </c>
      <c r="E115" s="6">
        <f>INDEX(tblMSRegistrada[Tratamiento],MATCH(tblMSCalculada[[#This Row],[Identificador de observación]],tblMSRegistrada[Identificador de observación],0))</f>
        <v/>
      </c>
      <c r="F115" s="6">
        <f>INDEX(tblMSRegistrada[Bloque],MATCH(tblMSCalculada[[#This Row],[Identificador de observación]],tblMSRegistrada[Identificador de observación],0))</f>
        <v/>
      </c>
      <c r="G115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15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15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15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15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15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15" s="14">
        <f>100*tblMSCalculada[[#This Row],[Peso seco (g)]]/tblMSCalculada[[#This Row],[Peso verde de la muestra (g)]]</f>
        <v/>
      </c>
      <c r="N115" s="14">
        <f>ABS(tblMSCalculada[[#This Row],[Materia seca registrada (%)]]-tblMSCalculada[[#This Row],[Materia seca reconstruida (%)]])</f>
        <v/>
      </c>
      <c r="O115" s="14">
        <f>tblMSCalculada[[#This Row],[Diferencia absoluta de materia seca (puntos porcentuales)]]/ABS(tblMSCalculada[[#This Row],[Materia seca registrada (%)]])</f>
        <v/>
      </c>
      <c r="P115" s="6">
        <f>AND(tblMSCalculada[[#This Row],[Diferencia absoluta de materia seca (puntos porcentuales)]]&gt;=5,tblMSCalculada[[#This Row],[Diferencia relativa de materia seca (proporción)]]&gt;=0.20)</f>
        <v/>
      </c>
      <c r="Q115" s="14" t="n">
        <v>9090.78947368421</v>
      </c>
      <c r="R115" s="14">
        <f>tblMSCalculada[[#This Row],[Peso verde en un metro (g)]]*(tblMSCalculada[[#This Row],[Materia seca registrada (%)]]/100)*10/INDEX(tblMetadatos[Valor],MATCH("biomass_sample_area_m2",tblMetadatos[Parámetro],0))</f>
        <v/>
      </c>
      <c r="S115" s="14">
        <f>tblMSCalculada[[#This Row],[Peso verde en un metro (g)]]*(tblMSCalculada[[#This Row],[Materia seca reconstruida (%)]]/100)*10/INDEX(tblMetadatos[Valor],MATCH("biomass_sample_area_m2",tblMetadatos[Parámetro],0))</f>
        <v/>
      </c>
      <c r="T115" s="14">
        <f>tblMSCalculada[[#This Row],[Biomasa recalculada con materia seca registrada (kg MS/ha)]]-tblMSCalculada[[#This Row],[Biomasa informada en el libro histórico (kg MS/ha)]]</f>
        <v/>
      </c>
      <c r="U115" s="14">
        <f>tblMSCalculada[[#This Row],[Macollos en 30 cm (macollos/30 cm)]]*(100/30)*(100/INDEX(tblMetadatos[Valor],MATCH("row_spacing_cm",tblMetadatos[Parámetro],0)))</f>
        <v/>
      </c>
    </row>
    <row r="116">
      <c r="A116" s="6" t="inlineStr">
        <is>
          <t>dm_20251112_secano_m5_r1</t>
        </is>
      </c>
      <c r="B116" s="13">
        <f>INDEX(tblMSRegistrada[Fecha],MATCH(tblMSCalculada[[#This Row],[Identificador de observación]],tblMSRegistrada[Identificador de observación],0))</f>
        <v/>
      </c>
      <c r="C116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16" s="6">
        <f>INDEX(tblMSRegistrada[Sector hídrico],MATCH(tblMSCalculada[[#This Row],[Identificador de observación]],tblMSRegistrada[Identificador de observación],0))</f>
        <v/>
      </c>
      <c r="E116" s="6">
        <f>INDEX(tblMSRegistrada[Tratamiento],MATCH(tblMSCalculada[[#This Row],[Identificador de observación]],tblMSRegistrada[Identificador de observación],0))</f>
        <v/>
      </c>
      <c r="F116" s="6">
        <f>INDEX(tblMSRegistrada[Bloque],MATCH(tblMSCalculada[[#This Row],[Identificador de observación]],tblMSRegistrada[Identificador de observación],0))</f>
        <v/>
      </c>
      <c r="G116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16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16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16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16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16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16" s="14">
        <f>100*tblMSCalculada[[#This Row],[Peso seco (g)]]/tblMSCalculada[[#This Row],[Peso verde de la muestra (g)]]</f>
        <v/>
      </c>
      <c r="N116" s="14">
        <f>ABS(tblMSCalculada[[#This Row],[Materia seca registrada (%)]]-tblMSCalculada[[#This Row],[Materia seca reconstruida (%)]])</f>
        <v/>
      </c>
      <c r="O116" s="14">
        <f>tblMSCalculada[[#This Row],[Diferencia absoluta de materia seca (puntos porcentuales)]]/ABS(tblMSCalculada[[#This Row],[Materia seca registrada (%)]])</f>
        <v/>
      </c>
      <c r="P116" s="6">
        <f>AND(tblMSCalculada[[#This Row],[Diferencia absoluta de materia seca (puntos porcentuales)]]&gt;=5,tblMSCalculada[[#This Row],[Diferencia relativa de materia seca (proporción)]]&gt;=0.20)</f>
        <v/>
      </c>
      <c r="Q116" s="14" t="n">
        <v>10028.05263157895</v>
      </c>
      <c r="R116" s="14">
        <f>tblMSCalculada[[#This Row],[Peso verde en un metro (g)]]*(tblMSCalculada[[#This Row],[Materia seca registrada (%)]]/100)*10/INDEX(tblMetadatos[Valor],MATCH("biomass_sample_area_m2",tblMetadatos[Parámetro],0))</f>
        <v/>
      </c>
      <c r="S116" s="14">
        <f>tblMSCalculada[[#This Row],[Peso verde en un metro (g)]]*(tblMSCalculada[[#This Row],[Materia seca reconstruida (%)]]/100)*10/INDEX(tblMetadatos[Valor],MATCH("biomass_sample_area_m2",tblMetadatos[Parámetro],0))</f>
        <v/>
      </c>
      <c r="T116" s="14">
        <f>tblMSCalculada[[#This Row],[Biomasa recalculada con materia seca registrada (kg MS/ha)]]-tblMSCalculada[[#This Row],[Biomasa informada en el libro histórico (kg MS/ha)]]</f>
        <v/>
      </c>
      <c r="U116" s="14">
        <f>tblMSCalculada[[#This Row],[Macollos en 30 cm (macollos/30 cm)]]*(100/30)*(100/INDEX(tblMetadatos[Valor],MATCH("row_spacing_cm",tblMetadatos[Parámetro],0)))</f>
        <v/>
      </c>
    </row>
    <row r="117">
      <c r="A117" s="6" t="inlineStr">
        <is>
          <t>dm_20251112_secano_m3_r2</t>
        </is>
      </c>
      <c r="B117" s="13">
        <f>INDEX(tblMSRegistrada[Fecha],MATCH(tblMSCalculada[[#This Row],[Identificador de observación]],tblMSRegistrada[Identificador de observación],0))</f>
        <v/>
      </c>
      <c r="C117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17" s="6">
        <f>INDEX(tblMSRegistrada[Sector hídrico],MATCH(tblMSCalculada[[#This Row],[Identificador de observación]],tblMSRegistrada[Identificador de observación],0))</f>
        <v/>
      </c>
      <c r="E117" s="6">
        <f>INDEX(tblMSRegistrada[Tratamiento],MATCH(tblMSCalculada[[#This Row],[Identificador de observación]],tblMSRegistrada[Identificador de observación],0))</f>
        <v/>
      </c>
      <c r="F117" s="6">
        <f>INDEX(tblMSRegistrada[Bloque],MATCH(tblMSCalculada[[#This Row],[Identificador de observación]],tblMSRegistrada[Identificador de observación],0))</f>
        <v/>
      </c>
      <c r="G117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17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17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17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17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17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17" s="14">
        <f>100*tblMSCalculada[[#This Row],[Peso seco (g)]]/tblMSCalculada[[#This Row],[Peso verde de la muestra (g)]]</f>
        <v/>
      </c>
      <c r="N117" s="14">
        <f>ABS(tblMSCalculada[[#This Row],[Materia seca registrada (%)]]-tblMSCalculada[[#This Row],[Materia seca reconstruida (%)]])</f>
        <v/>
      </c>
      <c r="O117" s="14">
        <f>tblMSCalculada[[#This Row],[Diferencia absoluta de materia seca (puntos porcentuales)]]/ABS(tblMSCalculada[[#This Row],[Materia seca registrada (%)]])</f>
        <v/>
      </c>
      <c r="P117" s="6">
        <f>AND(tblMSCalculada[[#This Row],[Diferencia absoluta de materia seca (puntos porcentuales)]]&gt;=5,tblMSCalculada[[#This Row],[Diferencia relativa de materia seca (proporción)]]&gt;=0.20)</f>
        <v/>
      </c>
      <c r="Q117" s="14" t="n">
        <v>12573.47368421053</v>
      </c>
      <c r="R117" s="14">
        <f>tblMSCalculada[[#This Row],[Peso verde en un metro (g)]]*(tblMSCalculada[[#This Row],[Materia seca registrada (%)]]/100)*10/INDEX(tblMetadatos[Valor],MATCH("biomass_sample_area_m2",tblMetadatos[Parámetro],0))</f>
        <v/>
      </c>
      <c r="S117" s="14">
        <f>tblMSCalculada[[#This Row],[Peso verde en un metro (g)]]*(tblMSCalculada[[#This Row],[Materia seca reconstruida (%)]]/100)*10/INDEX(tblMetadatos[Valor],MATCH("biomass_sample_area_m2",tblMetadatos[Parámetro],0))</f>
        <v/>
      </c>
      <c r="T117" s="14">
        <f>tblMSCalculada[[#This Row],[Biomasa recalculada con materia seca registrada (kg MS/ha)]]-tblMSCalculada[[#This Row],[Biomasa informada en el libro histórico (kg MS/ha)]]</f>
        <v/>
      </c>
      <c r="U117" s="14">
        <f>tblMSCalculada[[#This Row],[Macollos en 30 cm (macollos/30 cm)]]*(100/30)*(100/INDEX(tblMetadatos[Valor],MATCH("row_spacing_cm",tblMetadatos[Parámetro],0)))</f>
        <v/>
      </c>
    </row>
    <row r="118">
      <c r="A118" s="6" t="inlineStr">
        <is>
          <t>dm_20251112_secano_m2_r2</t>
        </is>
      </c>
      <c r="B118" s="13">
        <f>INDEX(tblMSRegistrada[Fecha],MATCH(tblMSCalculada[[#This Row],[Identificador de observación]],tblMSRegistrada[Identificador de observación],0))</f>
        <v/>
      </c>
      <c r="C118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18" s="6">
        <f>INDEX(tblMSRegistrada[Sector hídrico],MATCH(tblMSCalculada[[#This Row],[Identificador de observación]],tblMSRegistrada[Identificador de observación],0))</f>
        <v/>
      </c>
      <c r="E118" s="6">
        <f>INDEX(tblMSRegistrada[Tratamiento],MATCH(tblMSCalculada[[#This Row],[Identificador de observación]],tblMSRegistrada[Identificador de observación],0))</f>
        <v/>
      </c>
      <c r="F118" s="6">
        <f>INDEX(tblMSRegistrada[Bloque],MATCH(tblMSCalculada[[#This Row],[Identificador de observación]],tblMSRegistrada[Identificador de observación],0))</f>
        <v/>
      </c>
      <c r="G118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18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18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18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18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18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18" s="14">
        <f>100*tblMSCalculada[[#This Row],[Peso seco (g)]]/tblMSCalculada[[#This Row],[Peso verde de la muestra (g)]]</f>
        <v/>
      </c>
      <c r="N118" s="14">
        <f>ABS(tblMSCalculada[[#This Row],[Materia seca registrada (%)]]-tblMSCalculada[[#This Row],[Materia seca reconstruida (%)]])</f>
        <v/>
      </c>
      <c r="O118" s="14">
        <f>tblMSCalculada[[#This Row],[Diferencia absoluta de materia seca (puntos porcentuales)]]/ABS(tblMSCalculada[[#This Row],[Materia seca registrada (%)]])</f>
        <v/>
      </c>
      <c r="P118" s="6">
        <f>AND(tblMSCalculada[[#This Row],[Diferencia absoluta de materia seca (puntos porcentuales)]]&gt;=5,tblMSCalculada[[#This Row],[Diferencia relativa de materia seca (proporción)]]&gt;=0.20)</f>
        <v/>
      </c>
      <c r="Q118" s="14" t="n">
        <v>15419.36842105263</v>
      </c>
      <c r="R118" s="14">
        <f>tblMSCalculada[[#This Row],[Peso verde en un metro (g)]]*(tblMSCalculada[[#This Row],[Materia seca registrada (%)]]/100)*10/INDEX(tblMetadatos[Valor],MATCH("biomass_sample_area_m2",tblMetadatos[Parámetro],0))</f>
        <v/>
      </c>
      <c r="S118" s="14">
        <f>tblMSCalculada[[#This Row],[Peso verde en un metro (g)]]*(tblMSCalculada[[#This Row],[Materia seca reconstruida (%)]]/100)*10/INDEX(tblMetadatos[Valor],MATCH("biomass_sample_area_m2",tblMetadatos[Parámetro],0))</f>
        <v/>
      </c>
      <c r="T118" s="14">
        <f>tblMSCalculada[[#This Row],[Biomasa recalculada con materia seca registrada (kg MS/ha)]]-tblMSCalculada[[#This Row],[Biomasa informada en el libro histórico (kg MS/ha)]]</f>
        <v/>
      </c>
      <c r="U118" s="14">
        <f>tblMSCalculada[[#This Row],[Macollos en 30 cm (macollos/30 cm)]]*(100/30)*(100/INDEX(tblMetadatos[Valor],MATCH("row_spacing_cm",tblMetadatos[Parámetro],0)))</f>
        <v/>
      </c>
    </row>
    <row r="119">
      <c r="A119" s="6" t="inlineStr">
        <is>
          <t>dm_20251112_secano_m4_r2</t>
        </is>
      </c>
      <c r="B119" s="13">
        <f>INDEX(tblMSRegistrada[Fecha],MATCH(tblMSCalculada[[#This Row],[Identificador de observación]],tblMSRegistrada[Identificador de observación],0))</f>
        <v/>
      </c>
      <c r="C119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19" s="6">
        <f>INDEX(tblMSRegistrada[Sector hídrico],MATCH(tblMSCalculada[[#This Row],[Identificador de observación]],tblMSRegistrada[Identificador de observación],0))</f>
        <v/>
      </c>
      <c r="E119" s="6">
        <f>INDEX(tblMSRegistrada[Tratamiento],MATCH(tblMSCalculada[[#This Row],[Identificador de observación]],tblMSRegistrada[Identificador de observación],0))</f>
        <v/>
      </c>
      <c r="F119" s="6">
        <f>INDEX(tblMSRegistrada[Bloque],MATCH(tblMSCalculada[[#This Row],[Identificador de observación]],tblMSRegistrada[Identificador de observación],0))</f>
        <v/>
      </c>
      <c r="G119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19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19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19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19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19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19" s="14">
        <f>100*tblMSCalculada[[#This Row],[Peso seco (g)]]/tblMSCalculada[[#This Row],[Peso verde de la muestra (g)]]</f>
        <v/>
      </c>
      <c r="N119" s="14">
        <f>ABS(tblMSCalculada[[#This Row],[Materia seca registrada (%)]]-tblMSCalculada[[#This Row],[Materia seca reconstruida (%)]])</f>
        <v/>
      </c>
      <c r="O119" s="14">
        <f>tblMSCalculada[[#This Row],[Diferencia absoluta de materia seca (puntos porcentuales)]]/ABS(tblMSCalculada[[#This Row],[Materia seca registrada (%)]])</f>
        <v/>
      </c>
      <c r="P119" s="6">
        <f>AND(tblMSCalculada[[#This Row],[Diferencia absoluta de materia seca (puntos porcentuales)]]&gt;=5,tblMSCalculada[[#This Row],[Diferencia relativa de materia seca (proporción)]]&gt;=0.20)</f>
        <v/>
      </c>
      <c r="Q119" s="14" t="n">
        <v>12751.15789473684</v>
      </c>
      <c r="R119" s="14">
        <f>tblMSCalculada[[#This Row],[Peso verde en un metro (g)]]*(tblMSCalculada[[#This Row],[Materia seca registrada (%)]]/100)*10/INDEX(tblMetadatos[Valor],MATCH("biomass_sample_area_m2",tblMetadatos[Parámetro],0))</f>
        <v/>
      </c>
      <c r="S119" s="14">
        <f>tblMSCalculada[[#This Row],[Peso verde en un metro (g)]]*(tblMSCalculada[[#This Row],[Materia seca reconstruida (%)]]/100)*10/INDEX(tblMetadatos[Valor],MATCH("biomass_sample_area_m2",tblMetadatos[Parámetro],0))</f>
        <v/>
      </c>
      <c r="T119" s="14">
        <f>tblMSCalculada[[#This Row],[Biomasa recalculada con materia seca registrada (kg MS/ha)]]-tblMSCalculada[[#This Row],[Biomasa informada en el libro histórico (kg MS/ha)]]</f>
        <v/>
      </c>
      <c r="U119" s="14">
        <f>tblMSCalculada[[#This Row],[Macollos en 30 cm (macollos/30 cm)]]*(100/30)*(100/INDEX(tblMetadatos[Valor],MATCH("row_spacing_cm",tblMetadatos[Parámetro],0)))</f>
        <v/>
      </c>
    </row>
    <row r="120">
      <c r="A120" s="6" t="inlineStr">
        <is>
          <t>dm_20251112_secano_m0_r2</t>
        </is>
      </c>
      <c r="B120" s="13">
        <f>INDEX(tblMSRegistrada[Fecha],MATCH(tblMSCalculada[[#This Row],[Identificador de observación]],tblMSRegistrada[Identificador de observación],0))</f>
        <v/>
      </c>
      <c r="C120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20" s="6">
        <f>INDEX(tblMSRegistrada[Sector hídrico],MATCH(tblMSCalculada[[#This Row],[Identificador de observación]],tblMSRegistrada[Identificador de observación],0))</f>
        <v/>
      </c>
      <c r="E120" s="6">
        <f>INDEX(tblMSRegistrada[Tratamiento],MATCH(tblMSCalculada[[#This Row],[Identificador de observación]],tblMSRegistrada[Identificador de observación],0))</f>
        <v/>
      </c>
      <c r="F120" s="6">
        <f>INDEX(tblMSRegistrada[Bloque],MATCH(tblMSCalculada[[#This Row],[Identificador de observación]],tblMSRegistrada[Identificador de observación],0))</f>
        <v/>
      </c>
      <c r="G120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20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20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20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20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20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20" s="14">
        <f>100*tblMSCalculada[[#This Row],[Peso seco (g)]]/tblMSCalculada[[#This Row],[Peso verde de la muestra (g)]]</f>
        <v/>
      </c>
      <c r="N120" s="14">
        <f>ABS(tblMSCalculada[[#This Row],[Materia seca registrada (%)]]-tblMSCalculada[[#This Row],[Materia seca reconstruida (%)]])</f>
        <v/>
      </c>
      <c r="O120" s="14">
        <f>tblMSCalculada[[#This Row],[Diferencia absoluta de materia seca (puntos porcentuales)]]/ABS(tblMSCalculada[[#This Row],[Materia seca registrada (%)]])</f>
        <v/>
      </c>
      <c r="P120" s="6">
        <f>AND(tblMSCalculada[[#This Row],[Diferencia absoluta de materia seca (puntos porcentuales)]]&gt;=5,tblMSCalculada[[#This Row],[Diferencia relativa de materia seca (proporción)]]&gt;=0.20)</f>
        <v/>
      </c>
      <c r="Q120" s="14" t="n">
        <v>5595</v>
      </c>
      <c r="R120" s="14">
        <f>tblMSCalculada[[#This Row],[Peso verde en un metro (g)]]*(tblMSCalculada[[#This Row],[Materia seca registrada (%)]]/100)*10/INDEX(tblMetadatos[Valor],MATCH("biomass_sample_area_m2",tblMetadatos[Parámetro],0))</f>
        <v/>
      </c>
      <c r="S120" s="14">
        <f>tblMSCalculada[[#This Row],[Peso verde en un metro (g)]]*(tblMSCalculada[[#This Row],[Materia seca reconstruida (%)]]/100)*10/INDEX(tblMetadatos[Valor],MATCH("biomass_sample_area_m2",tblMetadatos[Parámetro],0))</f>
        <v/>
      </c>
      <c r="T120" s="14">
        <f>tblMSCalculada[[#This Row],[Biomasa recalculada con materia seca registrada (kg MS/ha)]]-tblMSCalculada[[#This Row],[Biomasa informada en el libro histórico (kg MS/ha)]]</f>
        <v/>
      </c>
      <c r="U120" s="14">
        <f>tblMSCalculada[[#This Row],[Macollos en 30 cm (macollos/30 cm)]]*(100/30)*(100/INDEX(tblMetadatos[Valor],MATCH("row_spacing_cm",tblMetadatos[Parámetro],0)))</f>
        <v/>
      </c>
    </row>
    <row r="121">
      <c r="A121" s="6" t="inlineStr">
        <is>
          <t>dm_20251112_secano_m1_r2</t>
        </is>
      </c>
      <c r="B121" s="13">
        <f>INDEX(tblMSRegistrada[Fecha],MATCH(tblMSCalculada[[#This Row],[Identificador de observación]],tblMSRegistrada[Identificador de observación],0))</f>
        <v/>
      </c>
      <c r="C121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21" s="6">
        <f>INDEX(tblMSRegistrada[Sector hídrico],MATCH(tblMSCalculada[[#This Row],[Identificador de observación]],tblMSRegistrada[Identificador de observación],0))</f>
        <v/>
      </c>
      <c r="E121" s="6">
        <f>INDEX(tblMSRegistrada[Tratamiento],MATCH(tblMSCalculada[[#This Row],[Identificador de observación]],tblMSRegistrada[Identificador de observación],0))</f>
        <v/>
      </c>
      <c r="F121" s="6">
        <f>INDEX(tblMSRegistrada[Bloque],MATCH(tblMSCalculada[[#This Row],[Identificador de observación]],tblMSRegistrada[Identificador de observación],0))</f>
        <v/>
      </c>
      <c r="G121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21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21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21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21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21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21" s="14">
        <f>100*tblMSCalculada[[#This Row],[Peso seco (g)]]/tblMSCalculada[[#This Row],[Peso verde de la muestra (g)]]</f>
        <v/>
      </c>
      <c r="N121" s="14">
        <f>ABS(tblMSCalculada[[#This Row],[Materia seca registrada (%)]]-tblMSCalculada[[#This Row],[Materia seca reconstruida (%)]])</f>
        <v/>
      </c>
      <c r="O121" s="14">
        <f>tblMSCalculada[[#This Row],[Diferencia absoluta de materia seca (puntos porcentuales)]]/ABS(tblMSCalculada[[#This Row],[Materia seca registrada (%)]])</f>
        <v/>
      </c>
      <c r="P121" s="6">
        <f>AND(tblMSCalculada[[#This Row],[Diferencia absoluta de materia seca (puntos porcentuales)]]&gt;=5,tblMSCalculada[[#This Row],[Diferencia relativa de materia seca (proporción)]]&gt;=0.20)</f>
        <v/>
      </c>
      <c r="Q121" s="14" t="n">
        <v>17003.63157894737</v>
      </c>
      <c r="R121" s="14">
        <f>tblMSCalculada[[#This Row],[Peso verde en un metro (g)]]*(tblMSCalculada[[#This Row],[Materia seca registrada (%)]]/100)*10/INDEX(tblMetadatos[Valor],MATCH("biomass_sample_area_m2",tblMetadatos[Parámetro],0))</f>
        <v/>
      </c>
      <c r="S121" s="14">
        <f>tblMSCalculada[[#This Row],[Peso verde en un metro (g)]]*(tblMSCalculada[[#This Row],[Materia seca reconstruida (%)]]/100)*10/INDEX(tblMetadatos[Valor],MATCH("biomass_sample_area_m2",tblMetadatos[Parámetro],0))</f>
        <v/>
      </c>
      <c r="T121" s="14">
        <f>tblMSCalculada[[#This Row],[Biomasa recalculada con materia seca registrada (kg MS/ha)]]-tblMSCalculada[[#This Row],[Biomasa informada en el libro histórico (kg MS/ha)]]</f>
        <v/>
      </c>
      <c r="U121" s="14">
        <f>tblMSCalculada[[#This Row],[Macollos en 30 cm (macollos/30 cm)]]*(100/30)*(100/INDEX(tblMetadatos[Valor],MATCH("row_spacing_cm",tblMetadatos[Parámetro],0)))</f>
        <v/>
      </c>
    </row>
    <row r="122">
      <c r="A122" s="6" t="inlineStr">
        <is>
          <t>dm_20251112_secano_m5_r2</t>
        </is>
      </c>
      <c r="B122" s="13">
        <f>INDEX(tblMSRegistrada[Fecha],MATCH(tblMSCalculada[[#This Row],[Identificador de observación]],tblMSRegistrada[Identificador de observación],0))</f>
        <v/>
      </c>
      <c r="C122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22" s="6">
        <f>INDEX(tblMSRegistrada[Sector hídrico],MATCH(tblMSCalculada[[#This Row],[Identificador de observación]],tblMSRegistrada[Identificador de observación],0))</f>
        <v/>
      </c>
      <c r="E122" s="6">
        <f>INDEX(tblMSRegistrada[Tratamiento],MATCH(tblMSCalculada[[#This Row],[Identificador de observación]],tblMSRegistrada[Identificador de observación],0))</f>
        <v/>
      </c>
      <c r="F122" s="6">
        <f>INDEX(tblMSRegistrada[Bloque],MATCH(tblMSCalculada[[#This Row],[Identificador de observación]],tblMSRegistrada[Identificador de observación],0))</f>
        <v/>
      </c>
      <c r="G122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22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22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22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22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22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22" s="14">
        <f>100*tblMSCalculada[[#This Row],[Peso seco (g)]]/tblMSCalculada[[#This Row],[Peso verde de la muestra (g)]]</f>
        <v/>
      </c>
      <c r="N122" s="14">
        <f>ABS(tblMSCalculada[[#This Row],[Materia seca registrada (%)]]-tblMSCalculada[[#This Row],[Materia seca reconstruida (%)]])</f>
        <v/>
      </c>
      <c r="O122" s="14">
        <f>tblMSCalculada[[#This Row],[Diferencia absoluta de materia seca (puntos porcentuales)]]/ABS(tblMSCalculada[[#This Row],[Materia seca registrada (%)]])</f>
        <v/>
      </c>
      <c r="P122" s="6">
        <f>AND(tblMSCalculada[[#This Row],[Diferencia absoluta de materia seca (puntos porcentuales)]]&gt;=5,tblMSCalculada[[#This Row],[Diferencia relativa de materia seca (proporción)]]&gt;=0.20)</f>
        <v/>
      </c>
      <c r="Q122" s="14" t="n">
        <v>10622.92105263158</v>
      </c>
      <c r="R122" s="14">
        <f>tblMSCalculada[[#This Row],[Peso verde en un metro (g)]]*(tblMSCalculada[[#This Row],[Materia seca registrada (%)]]/100)*10/INDEX(tblMetadatos[Valor],MATCH("biomass_sample_area_m2",tblMetadatos[Parámetro],0))</f>
        <v/>
      </c>
      <c r="S122" s="14">
        <f>tblMSCalculada[[#This Row],[Peso verde en un metro (g)]]*(tblMSCalculada[[#This Row],[Materia seca reconstruida (%)]]/100)*10/INDEX(tblMetadatos[Valor],MATCH("biomass_sample_area_m2",tblMetadatos[Parámetro],0))</f>
        <v/>
      </c>
      <c r="T122" s="14">
        <f>tblMSCalculada[[#This Row],[Biomasa recalculada con materia seca registrada (kg MS/ha)]]-tblMSCalculada[[#This Row],[Biomasa informada en el libro histórico (kg MS/ha)]]</f>
        <v/>
      </c>
      <c r="U122" s="14">
        <f>tblMSCalculada[[#This Row],[Macollos en 30 cm (macollos/30 cm)]]*(100/30)*(100/INDEX(tblMetadatos[Valor],MATCH("row_spacing_cm",tblMetadatos[Parámetro],0)))</f>
        <v/>
      </c>
    </row>
    <row r="123">
      <c r="A123" s="6" t="inlineStr">
        <is>
          <t>dm_20251112_secano_m3_r3</t>
        </is>
      </c>
      <c r="B123" s="13">
        <f>INDEX(tblMSRegistrada[Fecha],MATCH(tblMSCalculada[[#This Row],[Identificador de observación]],tblMSRegistrada[Identificador de observación],0))</f>
        <v/>
      </c>
      <c r="C123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23" s="6">
        <f>INDEX(tblMSRegistrada[Sector hídrico],MATCH(tblMSCalculada[[#This Row],[Identificador de observación]],tblMSRegistrada[Identificador de observación],0))</f>
        <v/>
      </c>
      <c r="E123" s="6">
        <f>INDEX(tblMSRegistrada[Tratamiento],MATCH(tblMSCalculada[[#This Row],[Identificador de observación]],tblMSRegistrada[Identificador de observación],0))</f>
        <v/>
      </c>
      <c r="F123" s="6">
        <f>INDEX(tblMSRegistrada[Bloque],MATCH(tblMSCalculada[[#This Row],[Identificador de observación]],tblMSRegistrada[Identificador de observación],0))</f>
        <v/>
      </c>
      <c r="G123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23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23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23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23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23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23" s="14">
        <f>100*tblMSCalculada[[#This Row],[Peso seco (g)]]/tblMSCalculada[[#This Row],[Peso verde de la muestra (g)]]</f>
        <v/>
      </c>
      <c r="N123" s="14">
        <f>ABS(tblMSCalculada[[#This Row],[Materia seca registrada (%)]]-tblMSCalculada[[#This Row],[Materia seca reconstruida (%)]])</f>
        <v/>
      </c>
      <c r="O123" s="14">
        <f>tblMSCalculada[[#This Row],[Diferencia absoluta de materia seca (puntos porcentuales)]]/ABS(tblMSCalculada[[#This Row],[Materia seca registrada (%)]])</f>
        <v/>
      </c>
      <c r="P123" s="6">
        <f>AND(tblMSCalculada[[#This Row],[Diferencia absoluta de materia seca (puntos porcentuales)]]&gt;=5,tblMSCalculada[[#This Row],[Diferencia relativa de materia seca (proporción)]]&gt;=0.20)</f>
        <v/>
      </c>
      <c r="Q123" s="14" t="n">
        <v>13945.89473684211</v>
      </c>
      <c r="R123" s="14">
        <f>tblMSCalculada[[#This Row],[Peso verde en un metro (g)]]*(tblMSCalculada[[#This Row],[Materia seca registrada (%)]]/100)*10/INDEX(tblMetadatos[Valor],MATCH("biomass_sample_area_m2",tblMetadatos[Parámetro],0))</f>
        <v/>
      </c>
      <c r="S123" s="14">
        <f>tblMSCalculada[[#This Row],[Peso verde en un metro (g)]]*(tblMSCalculada[[#This Row],[Materia seca reconstruida (%)]]/100)*10/INDEX(tblMetadatos[Valor],MATCH("biomass_sample_area_m2",tblMetadatos[Parámetro],0))</f>
        <v/>
      </c>
      <c r="T123" s="14">
        <f>tblMSCalculada[[#This Row],[Biomasa recalculada con materia seca registrada (kg MS/ha)]]-tblMSCalculada[[#This Row],[Biomasa informada en el libro histórico (kg MS/ha)]]</f>
        <v/>
      </c>
      <c r="U123" s="14">
        <f>tblMSCalculada[[#This Row],[Macollos en 30 cm (macollos/30 cm)]]*(100/30)*(100/INDEX(tblMetadatos[Valor],MATCH("row_spacing_cm",tblMetadatos[Parámetro],0)))</f>
        <v/>
      </c>
    </row>
    <row r="124">
      <c r="A124" s="6" t="inlineStr">
        <is>
          <t>dm_20251112_secano_m4_r3</t>
        </is>
      </c>
      <c r="B124" s="13">
        <f>INDEX(tblMSRegistrada[Fecha],MATCH(tblMSCalculada[[#This Row],[Identificador de observación]],tblMSRegistrada[Identificador de observación],0))</f>
        <v/>
      </c>
      <c r="C124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24" s="6">
        <f>INDEX(tblMSRegistrada[Sector hídrico],MATCH(tblMSCalculada[[#This Row],[Identificador de observación]],tblMSRegistrada[Identificador de observación],0))</f>
        <v/>
      </c>
      <c r="E124" s="6">
        <f>INDEX(tblMSRegistrada[Tratamiento],MATCH(tblMSCalculada[[#This Row],[Identificador de observación]],tblMSRegistrada[Identificador de observación],0))</f>
        <v/>
      </c>
      <c r="F124" s="6">
        <f>INDEX(tblMSRegistrada[Bloque],MATCH(tblMSCalculada[[#This Row],[Identificador de observación]],tblMSRegistrada[Identificador de observación],0))</f>
        <v/>
      </c>
      <c r="G124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24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24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24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24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24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24" s="14">
        <f>100*tblMSCalculada[[#This Row],[Peso seco (g)]]/tblMSCalculada[[#This Row],[Peso verde de la muestra (g)]]</f>
        <v/>
      </c>
      <c r="N124" s="14">
        <f>ABS(tblMSCalculada[[#This Row],[Materia seca registrada (%)]]-tblMSCalculada[[#This Row],[Materia seca reconstruida (%)]])</f>
        <v/>
      </c>
      <c r="O124" s="14">
        <f>tblMSCalculada[[#This Row],[Diferencia absoluta de materia seca (puntos porcentuales)]]/ABS(tblMSCalculada[[#This Row],[Materia seca registrada (%)]])</f>
        <v/>
      </c>
      <c r="P124" s="6">
        <f>AND(tblMSCalculada[[#This Row],[Diferencia absoluta de materia seca (puntos porcentuales)]]&gt;=5,tblMSCalculada[[#This Row],[Diferencia relativa de materia seca (proporción)]]&gt;=0.20)</f>
        <v/>
      </c>
      <c r="Q124" s="14" t="n">
        <v>14700</v>
      </c>
      <c r="R124" s="14">
        <f>tblMSCalculada[[#This Row],[Peso verde en un metro (g)]]*(tblMSCalculada[[#This Row],[Materia seca registrada (%)]]/100)*10/INDEX(tblMetadatos[Valor],MATCH("biomass_sample_area_m2",tblMetadatos[Parámetro],0))</f>
        <v/>
      </c>
      <c r="S124" s="14">
        <f>tblMSCalculada[[#This Row],[Peso verde en un metro (g)]]*(tblMSCalculada[[#This Row],[Materia seca reconstruida (%)]]/100)*10/INDEX(tblMetadatos[Valor],MATCH("biomass_sample_area_m2",tblMetadatos[Parámetro],0))</f>
        <v/>
      </c>
      <c r="T124" s="14">
        <f>tblMSCalculada[[#This Row],[Biomasa recalculada con materia seca registrada (kg MS/ha)]]-tblMSCalculada[[#This Row],[Biomasa informada en el libro histórico (kg MS/ha)]]</f>
        <v/>
      </c>
      <c r="U124" s="14">
        <f>tblMSCalculada[[#This Row],[Macollos en 30 cm (macollos/30 cm)]]*(100/30)*(100/INDEX(tblMetadatos[Valor],MATCH("row_spacing_cm",tblMetadatos[Parámetro],0)))</f>
        <v/>
      </c>
    </row>
    <row r="125">
      <c r="A125" s="6" t="inlineStr">
        <is>
          <t>dm_20251112_secano_m0_r3</t>
        </is>
      </c>
      <c r="B125" s="13">
        <f>INDEX(tblMSRegistrada[Fecha],MATCH(tblMSCalculada[[#This Row],[Identificador de observación]],tblMSRegistrada[Identificador de observación],0))</f>
        <v/>
      </c>
      <c r="C125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25" s="6">
        <f>INDEX(tblMSRegistrada[Sector hídrico],MATCH(tblMSCalculada[[#This Row],[Identificador de observación]],tblMSRegistrada[Identificador de observación],0))</f>
        <v/>
      </c>
      <c r="E125" s="6">
        <f>INDEX(tblMSRegistrada[Tratamiento],MATCH(tblMSCalculada[[#This Row],[Identificador de observación]],tblMSRegistrada[Identificador de observación],0))</f>
        <v/>
      </c>
      <c r="F125" s="6">
        <f>INDEX(tblMSRegistrada[Bloque],MATCH(tblMSCalculada[[#This Row],[Identificador de observación]],tblMSRegistrada[Identificador de observación],0))</f>
        <v/>
      </c>
      <c r="G125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25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25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25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25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25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25" s="14">
        <f>100*tblMSCalculada[[#This Row],[Peso seco (g)]]/tblMSCalculada[[#This Row],[Peso verde de la muestra (g)]]</f>
        <v/>
      </c>
      <c r="N125" s="14">
        <f>ABS(tblMSCalculada[[#This Row],[Materia seca registrada (%)]]-tblMSCalculada[[#This Row],[Materia seca reconstruida (%)]])</f>
        <v/>
      </c>
      <c r="O125" s="14">
        <f>tblMSCalculada[[#This Row],[Diferencia absoluta de materia seca (puntos porcentuales)]]/ABS(tblMSCalculada[[#This Row],[Materia seca registrada (%)]])</f>
        <v/>
      </c>
      <c r="P125" s="6">
        <f>AND(tblMSCalculada[[#This Row],[Diferencia absoluta de materia seca (puntos porcentuales)]]&gt;=5,tblMSCalculada[[#This Row],[Diferencia relativa de materia seca (proporción)]]&gt;=0.20)</f>
        <v/>
      </c>
      <c r="Q125" s="14" t="n">
        <v>10395.15789473684</v>
      </c>
      <c r="R125" s="14">
        <f>tblMSCalculada[[#This Row],[Peso verde en un metro (g)]]*(tblMSCalculada[[#This Row],[Materia seca registrada (%)]]/100)*10/INDEX(tblMetadatos[Valor],MATCH("biomass_sample_area_m2",tblMetadatos[Parámetro],0))</f>
        <v/>
      </c>
      <c r="S125" s="14">
        <f>tblMSCalculada[[#This Row],[Peso verde en un metro (g)]]*(tblMSCalculada[[#This Row],[Materia seca reconstruida (%)]]/100)*10/INDEX(tblMetadatos[Valor],MATCH("biomass_sample_area_m2",tblMetadatos[Parámetro],0))</f>
        <v/>
      </c>
      <c r="T125" s="14">
        <f>tblMSCalculada[[#This Row],[Biomasa recalculada con materia seca registrada (kg MS/ha)]]-tblMSCalculada[[#This Row],[Biomasa informada en el libro histórico (kg MS/ha)]]</f>
        <v/>
      </c>
      <c r="U125" s="14">
        <f>tblMSCalculada[[#This Row],[Macollos en 30 cm (macollos/30 cm)]]*(100/30)*(100/INDEX(tblMetadatos[Valor],MATCH("row_spacing_cm",tblMetadatos[Parámetro],0)))</f>
        <v/>
      </c>
    </row>
    <row r="126">
      <c r="A126" s="6" t="inlineStr">
        <is>
          <t>dm_20251112_secano_m1_r3</t>
        </is>
      </c>
      <c r="B126" s="13">
        <f>INDEX(tblMSRegistrada[Fecha],MATCH(tblMSCalculada[[#This Row],[Identificador de observación]],tblMSRegistrada[Identificador de observación],0))</f>
        <v/>
      </c>
      <c r="C126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26" s="6">
        <f>INDEX(tblMSRegistrada[Sector hídrico],MATCH(tblMSCalculada[[#This Row],[Identificador de observación]],tblMSRegistrada[Identificador de observación],0))</f>
        <v/>
      </c>
      <c r="E126" s="6">
        <f>INDEX(tblMSRegistrada[Tratamiento],MATCH(tblMSCalculada[[#This Row],[Identificador de observación]],tblMSRegistrada[Identificador de observación],0))</f>
        <v/>
      </c>
      <c r="F126" s="6">
        <f>INDEX(tblMSRegistrada[Bloque],MATCH(tblMSCalculada[[#This Row],[Identificador de observación]],tblMSRegistrada[Identificador de observación],0))</f>
        <v/>
      </c>
      <c r="G126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26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26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26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26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26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26" s="14">
        <f>100*tblMSCalculada[[#This Row],[Peso seco (g)]]/tblMSCalculada[[#This Row],[Peso verde de la muestra (g)]]</f>
        <v/>
      </c>
      <c r="N126" s="14">
        <f>ABS(tblMSCalculada[[#This Row],[Materia seca registrada (%)]]-tblMSCalculada[[#This Row],[Materia seca reconstruida (%)]])</f>
        <v/>
      </c>
      <c r="O126" s="14">
        <f>tblMSCalculada[[#This Row],[Diferencia absoluta de materia seca (puntos porcentuales)]]/ABS(tblMSCalculada[[#This Row],[Materia seca registrada (%)]])</f>
        <v/>
      </c>
      <c r="P126" s="6">
        <f>AND(tblMSCalculada[[#This Row],[Diferencia absoluta de materia seca (puntos porcentuales)]]&gt;=5,tblMSCalculada[[#This Row],[Diferencia relativa de materia seca (proporción)]]&gt;=0.20)</f>
        <v/>
      </c>
      <c r="Q126" s="14" t="n">
        <v>15048</v>
      </c>
      <c r="R126" s="14">
        <f>tblMSCalculada[[#This Row],[Peso verde en un metro (g)]]*(tblMSCalculada[[#This Row],[Materia seca registrada (%)]]/100)*10/INDEX(tblMetadatos[Valor],MATCH("biomass_sample_area_m2",tblMetadatos[Parámetro],0))</f>
        <v/>
      </c>
      <c r="S126" s="14">
        <f>tblMSCalculada[[#This Row],[Peso verde en un metro (g)]]*(tblMSCalculada[[#This Row],[Materia seca reconstruida (%)]]/100)*10/INDEX(tblMetadatos[Valor],MATCH("biomass_sample_area_m2",tblMetadatos[Parámetro],0))</f>
        <v/>
      </c>
      <c r="T126" s="14">
        <f>tblMSCalculada[[#This Row],[Biomasa recalculada con materia seca registrada (kg MS/ha)]]-tblMSCalculada[[#This Row],[Biomasa informada en el libro histórico (kg MS/ha)]]</f>
        <v/>
      </c>
      <c r="U126" s="14">
        <f>tblMSCalculada[[#This Row],[Macollos en 30 cm (macollos/30 cm)]]*(100/30)*(100/INDEX(tblMetadatos[Valor],MATCH("row_spacing_cm",tblMetadatos[Parámetro],0)))</f>
        <v/>
      </c>
    </row>
    <row r="127">
      <c r="A127" s="6" t="inlineStr">
        <is>
          <t>dm_20251112_secano_m5_r3</t>
        </is>
      </c>
      <c r="B127" s="13">
        <f>INDEX(tblMSRegistrada[Fecha],MATCH(tblMSCalculada[[#This Row],[Identificador de observación]],tblMSRegistrada[Identificador de observación],0))</f>
        <v/>
      </c>
      <c r="C127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27" s="6">
        <f>INDEX(tblMSRegistrada[Sector hídrico],MATCH(tblMSCalculada[[#This Row],[Identificador de observación]],tblMSRegistrada[Identificador de observación],0))</f>
        <v/>
      </c>
      <c r="E127" s="6">
        <f>INDEX(tblMSRegistrada[Tratamiento],MATCH(tblMSCalculada[[#This Row],[Identificador de observación]],tblMSRegistrada[Identificador de observación],0))</f>
        <v/>
      </c>
      <c r="F127" s="6">
        <f>INDEX(tblMSRegistrada[Bloque],MATCH(tblMSCalculada[[#This Row],[Identificador de observación]],tblMSRegistrada[Identificador de observación],0))</f>
        <v/>
      </c>
      <c r="G127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27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27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27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27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27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27" s="14">
        <f>100*tblMSCalculada[[#This Row],[Peso seco (g)]]/tblMSCalculada[[#This Row],[Peso verde de la muestra (g)]]</f>
        <v/>
      </c>
      <c r="N127" s="14">
        <f>ABS(tblMSCalculada[[#This Row],[Materia seca registrada (%)]]-tblMSCalculada[[#This Row],[Materia seca reconstruida (%)]])</f>
        <v/>
      </c>
      <c r="O127" s="14">
        <f>tblMSCalculada[[#This Row],[Diferencia absoluta de materia seca (puntos porcentuales)]]/ABS(tblMSCalculada[[#This Row],[Materia seca registrada (%)]])</f>
        <v/>
      </c>
      <c r="P127" s="6">
        <f>AND(tblMSCalculada[[#This Row],[Diferencia absoluta de materia seca (puntos porcentuales)]]&gt;=5,tblMSCalculada[[#This Row],[Diferencia relativa de materia seca (proporción)]]&gt;=0.20)</f>
        <v/>
      </c>
      <c r="Q127" s="14" t="n">
        <v>10469.05263157895</v>
      </c>
      <c r="R127" s="14">
        <f>tblMSCalculada[[#This Row],[Peso verde en un metro (g)]]*(tblMSCalculada[[#This Row],[Materia seca registrada (%)]]/100)*10/INDEX(tblMetadatos[Valor],MATCH("biomass_sample_area_m2",tblMetadatos[Parámetro],0))</f>
        <v/>
      </c>
      <c r="S127" s="14">
        <f>tblMSCalculada[[#This Row],[Peso verde en un metro (g)]]*(tblMSCalculada[[#This Row],[Materia seca reconstruida (%)]]/100)*10/INDEX(tblMetadatos[Valor],MATCH("biomass_sample_area_m2",tblMetadatos[Parámetro],0))</f>
        <v/>
      </c>
      <c r="T127" s="14">
        <f>tblMSCalculada[[#This Row],[Biomasa recalculada con materia seca registrada (kg MS/ha)]]-tblMSCalculada[[#This Row],[Biomasa informada en el libro histórico (kg MS/ha)]]</f>
        <v/>
      </c>
      <c r="U127" s="14">
        <f>tblMSCalculada[[#This Row],[Macollos en 30 cm (macollos/30 cm)]]*(100/30)*(100/INDEX(tblMetadatos[Valor],MATCH("row_spacing_cm",tblMetadatos[Parámetro],0)))</f>
        <v/>
      </c>
    </row>
    <row r="128">
      <c r="A128" s="6" t="inlineStr">
        <is>
          <t>dm_20251112_secano_m2_r3</t>
        </is>
      </c>
      <c r="B128" s="13">
        <f>INDEX(tblMSRegistrada[Fecha],MATCH(tblMSCalculada[[#This Row],[Identificador de observación]],tblMSRegistrada[Identificador de observación],0))</f>
        <v/>
      </c>
      <c r="C128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28" s="6">
        <f>INDEX(tblMSRegistrada[Sector hídrico],MATCH(tblMSCalculada[[#This Row],[Identificador de observación]],tblMSRegistrada[Identificador de observación],0))</f>
        <v/>
      </c>
      <c r="E128" s="6">
        <f>INDEX(tblMSRegistrada[Tratamiento],MATCH(tblMSCalculada[[#This Row],[Identificador de observación]],tblMSRegistrada[Identificador de observación],0))</f>
        <v/>
      </c>
      <c r="F128" s="6">
        <f>INDEX(tblMSRegistrada[Bloque],MATCH(tblMSCalculada[[#This Row],[Identificador de observación]],tblMSRegistrada[Identificador de observación],0))</f>
        <v/>
      </c>
      <c r="G128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28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28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28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28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28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28" s="14">
        <f>100*tblMSCalculada[[#This Row],[Peso seco (g)]]/tblMSCalculada[[#This Row],[Peso verde de la muestra (g)]]</f>
        <v/>
      </c>
      <c r="N128" s="14">
        <f>ABS(tblMSCalculada[[#This Row],[Materia seca registrada (%)]]-tblMSCalculada[[#This Row],[Materia seca reconstruida (%)]])</f>
        <v/>
      </c>
      <c r="O128" s="14">
        <f>tblMSCalculada[[#This Row],[Diferencia absoluta de materia seca (puntos porcentuales)]]/ABS(tblMSCalculada[[#This Row],[Materia seca registrada (%)]])</f>
        <v/>
      </c>
      <c r="P128" s="6">
        <f>AND(tblMSCalculada[[#This Row],[Diferencia absoluta de materia seca (puntos porcentuales)]]&gt;=5,tblMSCalculada[[#This Row],[Diferencia relativa de materia seca (proporción)]]&gt;=0.20)</f>
        <v/>
      </c>
      <c r="Q128" s="14" t="n">
        <v>10990.63157894737</v>
      </c>
      <c r="R128" s="14">
        <f>tblMSCalculada[[#This Row],[Peso verde en un metro (g)]]*(tblMSCalculada[[#This Row],[Materia seca registrada (%)]]/100)*10/INDEX(tblMetadatos[Valor],MATCH("biomass_sample_area_m2",tblMetadatos[Parámetro],0))</f>
        <v/>
      </c>
      <c r="S128" s="14">
        <f>tblMSCalculada[[#This Row],[Peso verde en un metro (g)]]*(tblMSCalculada[[#This Row],[Materia seca reconstruida (%)]]/100)*10/INDEX(tblMetadatos[Valor],MATCH("biomass_sample_area_m2",tblMetadatos[Parámetro],0))</f>
        <v/>
      </c>
      <c r="T128" s="14">
        <f>tblMSCalculada[[#This Row],[Biomasa recalculada con materia seca registrada (kg MS/ha)]]-tblMSCalculada[[#This Row],[Biomasa informada en el libro histórico (kg MS/ha)]]</f>
        <v/>
      </c>
      <c r="U128" s="14">
        <f>tblMSCalculada[[#This Row],[Macollos en 30 cm (macollos/30 cm)]]*(100/30)*(100/INDEX(tblMetadatos[Valor],MATCH("row_spacing_cm",tblMetadatos[Parámetro],0)))</f>
        <v/>
      </c>
    </row>
    <row r="129">
      <c r="A129" s="6" t="inlineStr">
        <is>
          <t>dm_20251112_secano_m1_r4</t>
        </is>
      </c>
      <c r="B129" s="13">
        <f>INDEX(tblMSRegistrada[Fecha],MATCH(tblMSCalculada[[#This Row],[Identificador de observación]],tblMSRegistrada[Identificador de observación],0))</f>
        <v/>
      </c>
      <c r="C129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29" s="6">
        <f>INDEX(tblMSRegistrada[Sector hídrico],MATCH(tblMSCalculada[[#This Row],[Identificador de observación]],tblMSRegistrada[Identificador de observación],0))</f>
        <v/>
      </c>
      <c r="E129" s="6">
        <f>INDEX(tblMSRegistrada[Tratamiento],MATCH(tblMSCalculada[[#This Row],[Identificador de observación]],tblMSRegistrada[Identificador de observación],0))</f>
        <v/>
      </c>
      <c r="F129" s="6">
        <f>INDEX(tblMSRegistrada[Bloque],MATCH(tblMSCalculada[[#This Row],[Identificador de observación]],tblMSRegistrada[Identificador de observación],0))</f>
        <v/>
      </c>
      <c r="G129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29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29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29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29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29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29" s="14">
        <f>100*tblMSCalculada[[#This Row],[Peso seco (g)]]/tblMSCalculada[[#This Row],[Peso verde de la muestra (g)]]</f>
        <v/>
      </c>
      <c r="N129" s="14">
        <f>ABS(tblMSCalculada[[#This Row],[Materia seca registrada (%)]]-tblMSCalculada[[#This Row],[Materia seca reconstruida (%)]])</f>
        <v/>
      </c>
      <c r="O129" s="14">
        <f>tblMSCalculada[[#This Row],[Diferencia absoluta de materia seca (puntos porcentuales)]]/ABS(tblMSCalculada[[#This Row],[Materia seca registrada (%)]])</f>
        <v/>
      </c>
      <c r="P129" s="6">
        <f>AND(tblMSCalculada[[#This Row],[Diferencia absoluta de materia seca (puntos porcentuales)]]&gt;=5,tblMSCalculada[[#This Row],[Diferencia relativa de materia seca (proporción)]]&gt;=0.20)</f>
        <v/>
      </c>
      <c r="Q129" s="14" t="n">
        <v>13304.5</v>
      </c>
      <c r="R129" s="14">
        <f>tblMSCalculada[[#This Row],[Peso verde en un metro (g)]]*(tblMSCalculada[[#This Row],[Materia seca registrada (%)]]/100)*10/INDEX(tblMetadatos[Valor],MATCH("biomass_sample_area_m2",tblMetadatos[Parámetro],0))</f>
        <v/>
      </c>
      <c r="S129" s="14">
        <f>tblMSCalculada[[#This Row],[Peso verde en un metro (g)]]*(tblMSCalculada[[#This Row],[Materia seca reconstruida (%)]]/100)*10/INDEX(tblMetadatos[Valor],MATCH("biomass_sample_area_m2",tblMetadatos[Parámetro],0))</f>
        <v/>
      </c>
      <c r="T129" s="14">
        <f>tblMSCalculada[[#This Row],[Biomasa recalculada con materia seca registrada (kg MS/ha)]]-tblMSCalculada[[#This Row],[Biomasa informada en el libro histórico (kg MS/ha)]]</f>
        <v/>
      </c>
      <c r="U129" s="14">
        <f>tblMSCalculada[[#This Row],[Macollos en 30 cm (macollos/30 cm)]]*(100/30)*(100/INDEX(tblMetadatos[Valor],MATCH("row_spacing_cm",tblMetadatos[Parámetro],0)))</f>
        <v/>
      </c>
    </row>
    <row r="130">
      <c r="A130" s="6" t="inlineStr">
        <is>
          <t>dm_20251112_secano_m0_r4</t>
        </is>
      </c>
      <c r="B130" s="13">
        <f>INDEX(tblMSRegistrada[Fecha],MATCH(tblMSCalculada[[#This Row],[Identificador de observación]],tblMSRegistrada[Identificador de observación],0))</f>
        <v/>
      </c>
      <c r="C130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30" s="6">
        <f>INDEX(tblMSRegistrada[Sector hídrico],MATCH(tblMSCalculada[[#This Row],[Identificador de observación]],tblMSRegistrada[Identificador de observación],0))</f>
        <v/>
      </c>
      <c r="E130" s="6">
        <f>INDEX(tblMSRegistrada[Tratamiento],MATCH(tblMSCalculada[[#This Row],[Identificador de observación]],tblMSRegistrada[Identificador de observación],0))</f>
        <v/>
      </c>
      <c r="F130" s="6">
        <f>INDEX(tblMSRegistrada[Bloque],MATCH(tblMSCalculada[[#This Row],[Identificador de observación]],tblMSRegistrada[Identificador de observación],0))</f>
        <v/>
      </c>
      <c r="G130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30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30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30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30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30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30" s="14">
        <f>100*tblMSCalculada[[#This Row],[Peso seco (g)]]/tblMSCalculada[[#This Row],[Peso verde de la muestra (g)]]</f>
        <v/>
      </c>
      <c r="N130" s="14">
        <f>ABS(tblMSCalculada[[#This Row],[Materia seca registrada (%)]]-tblMSCalculada[[#This Row],[Materia seca reconstruida (%)]])</f>
        <v/>
      </c>
      <c r="O130" s="14">
        <f>tblMSCalculada[[#This Row],[Diferencia absoluta de materia seca (puntos porcentuales)]]/ABS(tblMSCalculada[[#This Row],[Materia seca registrada (%)]])</f>
        <v/>
      </c>
      <c r="P130" s="6">
        <f>AND(tblMSCalculada[[#This Row],[Diferencia absoluta de materia seca (puntos porcentuales)]]&gt;=5,tblMSCalculada[[#This Row],[Diferencia relativa de materia seca (proporción)]]&gt;=0.20)</f>
        <v/>
      </c>
      <c r="Q130" s="14" t="n">
        <v>12378.39473684211</v>
      </c>
      <c r="R130" s="14">
        <f>tblMSCalculada[[#This Row],[Peso verde en un metro (g)]]*(tblMSCalculada[[#This Row],[Materia seca registrada (%)]]/100)*10/INDEX(tblMetadatos[Valor],MATCH("biomass_sample_area_m2",tblMetadatos[Parámetro],0))</f>
        <v/>
      </c>
      <c r="S130" s="14">
        <f>tblMSCalculada[[#This Row],[Peso verde en un metro (g)]]*(tblMSCalculada[[#This Row],[Materia seca reconstruida (%)]]/100)*10/INDEX(tblMetadatos[Valor],MATCH("biomass_sample_area_m2",tblMetadatos[Parámetro],0))</f>
        <v/>
      </c>
      <c r="T130" s="14">
        <f>tblMSCalculada[[#This Row],[Biomasa recalculada con materia seca registrada (kg MS/ha)]]-tblMSCalculada[[#This Row],[Biomasa informada en el libro histórico (kg MS/ha)]]</f>
        <v/>
      </c>
      <c r="U130" s="14">
        <f>tblMSCalculada[[#This Row],[Macollos en 30 cm (macollos/30 cm)]]*(100/30)*(100/INDEX(tblMetadatos[Valor],MATCH("row_spacing_cm",tblMetadatos[Parámetro],0)))</f>
        <v/>
      </c>
    </row>
    <row r="131">
      <c r="A131" s="6" t="inlineStr">
        <is>
          <t>dm_20251112_secano_m5_r4</t>
        </is>
      </c>
      <c r="B131" s="13">
        <f>INDEX(tblMSRegistrada[Fecha],MATCH(tblMSCalculada[[#This Row],[Identificador de observación]],tblMSRegistrada[Identificador de observación],0))</f>
        <v/>
      </c>
      <c r="C131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31" s="6">
        <f>INDEX(tblMSRegistrada[Sector hídrico],MATCH(tblMSCalculada[[#This Row],[Identificador de observación]],tblMSRegistrada[Identificador de observación],0))</f>
        <v/>
      </c>
      <c r="E131" s="6">
        <f>INDEX(tblMSRegistrada[Tratamiento],MATCH(tblMSCalculada[[#This Row],[Identificador de observación]],tblMSRegistrada[Identificador de observación],0))</f>
        <v/>
      </c>
      <c r="F131" s="6">
        <f>INDEX(tblMSRegistrada[Bloque],MATCH(tblMSCalculada[[#This Row],[Identificador de observación]],tblMSRegistrada[Identificador de observación],0))</f>
        <v/>
      </c>
      <c r="G131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31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31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31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31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31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31" s="14">
        <f>100*tblMSCalculada[[#This Row],[Peso seco (g)]]/tblMSCalculada[[#This Row],[Peso verde de la muestra (g)]]</f>
        <v/>
      </c>
      <c r="N131" s="14">
        <f>ABS(tblMSCalculada[[#This Row],[Materia seca registrada (%)]]-tblMSCalculada[[#This Row],[Materia seca reconstruida (%)]])</f>
        <v/>
      </c>
      <c r="O131" s="14">
        <f>tblMSCalculada[[#This Row],[Diferencia absoluta de materia seca (puntos porcentuales)]]/ABS(tblMSCalculada[[#This Row],[Materia seca registrada (%)]])</f>
        <v/>
      </c>
      <c r="P131" s="6">
        <f>AND(tblMSCalculada[[#This Row],[Diferencia absoluta de materia seca (puntos porcentuales)]]&gt;=5,tblMSCalculada[[#This Row],[Diferencia relativa de materia seca (proporción)]]&gt;=0.20)</f>
        <v/>
      </c>
      <c r="Q131" s="14" t="n">
        <v>13541.26315789474</v>
      </c>
      <c r="R131" s="14">
        <f>tblMSCalculada[[#This Row],[Peso verde en un metro (g)]]*(tblMSCalculada[[#This Row],[Materia seca registrada (%)]]/100)*10/INDEX(tblMetadatos[Valor],MATCH("biomass_sample_area_m2",tblMetadatos[Parámetro],0))</f>
        <v/>
      </c>
      <c r="S131" s="14">
        <f>tblMSCalculada[[#This Row],[Peso verde en un metro (g)]]*(tblMSCalculada[[#This Row],[Materia seca reconstruida (%)]]/100)*10/INDEX(tblMetadatos[Valor],MATCH("biomass_sample_area_m2",tblMetadatos[Parámetro],0))</f>
        <v/>
      </c>
      <c r="T131" s="14">
        <f>tblMSCalculada[[#This Row],[Biomasa recalculada con materia seca registrada (kg MS/ha)]]-tblMSCalculada[[#This Row],[Biomasa informada en el libro histórico (kg MS/ha)]]</f>
        <v/>
      </c>
      <c r="U131" s="14">
        <f>tblMSCalculada[[#This Row],[Macollos en 30 cm (macollos/30 cm)]]*(100/30)*(100/INDEX(tblMetadatos[Valor],MATCH("row_spacing_cm",tblMetadatos[Parámetro],0)))</f>
        <v/>
      </c>
    </row>
    <row r="132">
      <c r="A132" s="6" t="inlineStr">
        <is>
          <t>dm_20251112_secano_m4_r4</t>
        </is>
      </c>
      <c r="B132" s="13">
        <f>INDEX(tblMSRegistrada[Fecha],MATCH(tblMSCalculada[[#This Row],[Identificador de observación]],tblMSRegistrada[Identificador de observación],0))</f>
        <v/>
      </c>
      <c r="C132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32" s="6">
        <f>INDEX(tblMSRegistrada[Sector hídrico],MATCH(tblMSCalculada[[#This Row],[Identificador de observación]],tblMSRegistrada[Identificador de observación],0))</f>
        <v/>
      </c>
      <c r="E132" s="6">
        <f>INDEX(tblMSRegistrada[Tratamiento],MATCH(tblMSCalculada[[#This Row],[Identificador de observación]],tblMSRegistrada[Identificador de observación],0))</f>
        <v/>
      </c>
      <c r="F132" s="6">
        <f>INDEX(tblMSRegistrada[Bloque],MATCH(tblMSCalculada[[#This Row],[Identificador de observación]],tblMSRegistrada[Identificador de observación],0))</f>
        <v/>
      </c>
      <c r="G132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32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32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32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32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32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32" s="14">
        <f>100*tblMSCalculada[[#This Row],[Peso seco (g)]]/tblMSCalculada[[#This Row],[Peso verde de la muestra (g)]]</f>
        <v/>
      </c>
      <c r="N132" s="14">
        <f>ABS(tblMSCalculada[[#This Row],[Materia seca registrada (%)]]-tblMSCalculada[[#This Row],[Materia seca reconstruida (%)]])</f>
        <v/>
      </c>
      <c r="O132" s="14">
        <f>tblMSCalculada[[#This Row],[Diferencia absoluta de materia seca (puntos porcentuales)]]/ABS(tblMSCalculada[[#This Row],[Materia seca registrada (%)]])</f>
        <v/>
      </c>
      <c r="P132" s="6">
        <f>AND(tblMSCalculada[[#This Row],[Diferencia absoluta de materia seca (puntos porcentuales)]]&gt;=5,tblMSCalculada[[#This Row],[Diferencia relativa de materia seca (proporción)]]&gt;=0.20)</f>
        <v/>
      </c>
      <c r="Q132" s="14" t="n">
        <v>12288.31578947369</v>
      </c>
      <c r="R132" s="14">
        <f>tblMSCalculada[[#This Row],[Peso verde en un metro (g)]]*(tblMSCalculada[[#This Row],[Materia seca registrada (%)]]/100)*10/INDEX(tblMetadatos[Valor],MATCH("biomass_sample_area_m2",tblMetadatos[Parámetro],0))</f>
        <v/>
      </c>
      <c r="S132" s="14">
        <f>tblMSCalculada[[#This Row],[Peso verde en un metro (g)]]*(tblMSCalculada[[#This Row],[Materia seca reconstruida (%)]]/100)*10/INDEX(tblMetadatos[Valor],MATCH("biomass_sample_area_m2",tblMetadatos[Parámetro],0))</f>
        <v/>
      </c>
      <c r="T132" s="14">
        <f>tblMSCalculada[[#This Row],[Biomasa recalculada con materia seca registrada (kg MS/ha)]]-tblMSCalculada[[#This Row],[Biomasa informada en el libro histórico (kg MS/ha)]]</f>
        <v/>
      </c>
      <c r="U132" s="14">
        <f>tblMSCalculada[[#This Row],[Macollos en 30 cm (macollos/30 cm)]]*(100/30)*(100/INDEX(tblMetadatos[Valor],MATCH("row_spacing_cm",tblMetadatos[Parámetro],0)))</f>
        <v/>
      </c>
    </row>
    <row r="133">
      <c r="A133" s="6" t="inlineStr">
        <is>
          <t>dm_20251112_secano_m3_r4</t>
        </is>
      </c>
      <c r="B133" s="13">
        <f>INDEX(tblMSRegistrada[Fecha],MATCH(tblMSCalculada[[#This Row],[Identificador de observación]],tblMSRegistrada[Identificador de observación],0))</f>
        <v/>
      </c>
      <c r="C133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33" s="6">
        <f>INDEX(tblMSRegistrada[Sector hídrico],MATCH(tblMSCalculada[[#This Row],[Identificador de observación]],tblMSRegistrada[Identificador de observación],0))</f>
        <v/>
      </c>
      <c r="E133" s="6">
        <f>INDEX(tblMSRegistrada[Tratamiento],MATCH(tblMSCalculada[[#This Row],[Identificador de observación]],tblMSRegistrada[Identificador de observación],0))</f>
        <v/>
      </c>
      <c r="F133" s="6">
        <f>INDEX(tblMSRegistrada[Bloque],MATCH(tblMSCalculada[[#This Row],[Identificador de observación]],tblMSRegistrada[Identificador de observación],0))</f>
        <v/>
      </c>
      <c r="G133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33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33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33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33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33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33" s="14">
        <f>100*tblMSCalculada[[#This Row],[Peso seco (g)]]/tblMSCalculada[[#This Row],[Peso verde de la muestra (g)]]</f>
        <v/>
      </c>
      <c r="N133" s="14">
        <f>ABS(tblMSCalculada[[#This Row],[Materia seca registrada (%)]]-tblMSCalculada[[#This Row],[Materia seca reconstruida (%)]])</f>
        <v/>
      </c>
      <c r="O133" s="14">
        <f>tblMSCalculada[[#This Row],[Diferencia absoluta de materia seca (puntos porcentuales)]]/ABS(tblMSCalculada[[#This Row],[Materia seca registrada (%)]])</f>
        <v/>
      </c>
      <c r="P133" s="6">
        <f>AND(tblMSCalculada[[#This Row],[Diferencia absoluta de materia seca (puntos porcentuales)]]&gt;=5,tblMSCalculada[[#This Row],[Diferencia relativa de materia seca (proporción)]]&gt;=0.20)</f>
        <v/>
      </c>
      <c r="Q133" s="14" t="n">
        <v>14732.23684210526</v>
      </c>
      <c r="R133" s="14">
        <f>tblMSCalculada[[#This Row],[Peso verde en un metro (g)]]*(tblMSCalculada[[#This Row],[Materia seca registrada (%)]]/100)*10/INDEX(tblMetadatos[Valor],MATCH("biomass_sample_area_m2",tblMetadatos[Parámetro],0))</f>
        <v/>
      </c>
      <c r="S133" s="14">
        <f>tblMSCalculada[[#This Row],[Peso verde en un metro (g)]]*(tblMSCalculada[[#This Row],[Materia seca reconstruida (%)]]/100)*10/INDEX(tblMetadatos[Valor],MATCH("biomass_sample_area_m2",tblMetadatos[Parámetro],0))</f>
        <v/>
      </c>
      <c r="T133" s="14">
        <f>tblMSCalculada[[#This Row],[Biomasa recalculada con materia seca registrada (kg MS/ha)]]-tblMSCalculada[[#This Row],[Biomasa informada en el libro histórico (kg MS/ha)]]</f>
        <v/>
      </c>
      <c r="U133" s="14">
        <f>tblMSCalculada[[#This Row],[Macollos en 30 cm (macollos/30 cm)]]*(100/30)*(100/INDEX(tblMetadatos[Valor],MATCH("row_spacing_cm",tblMetadatos[Parámetro],0)))</f>
        <v/>
      </c>
    </row>
    <row r="134">
      <c r="A134" s="6" t="inlineStr">
        <is>
          <t>dm_20251112_secano_m2_r4</t>
        </is>
      </c>
      <c r="B134" s="13">
        <f>INDEX(tblMSRegistrada[Fecha],MATCH(tblMSCalculada[[#This Row],[Identificador de observación]],tblMSRegistrada[Identificador de observación],0))</f>
        <v/>
      </c>
      <c r="C134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34" s="6">
        <f>INDEX(tblMSRegistrada[Sector hídrico],MATCH(tblMSCalculada[[#This Row],[Identificador de observación]],tblMSRegistrada[Identificador de observación],0))</f>
        <v/>
      </c>
      <c r="E134" s="6">
        <f>INDEX(tblMSRegistrada[Tratamiento],MATCH(tblMSCalculada[[#This Row],[Identificador de observación]],tblMSRegistrada[Identificador de observación],0))</f>
        <v/>
      </c>
      <c r="F134" s="6">
        <f>INDEX(tblMSRegistrada[Bloque],MATCH(tblMSCalculada[[#This Row],[Identificador de observación]],tblMSRegistrada[Identificador de observación],0))</f>
        <v/>
      </c>
      <c r="G134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34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34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34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34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34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34" s="14">
        <f>100*tblMSCalculada[[#This Row],[Peso seco (g)]]/tblMSCalculada[[#This Row],[Peso verde de la muestra (g)]]</f>
        <v/>
      </c>
      <c r="N134" s="14">
        <f>ABS(tblMSCalculada[[#This Row],[Materia seca registrada (%)]]-tblMSCalculada[[#This Row],[Materia seca reconstruida (%)]])</f>
        <v/>
      </c>
      <c r="O134" s="14">
        <f>tblMSCalculada[[#This Row],[Diferencia absoluta de materia seca (puntos porcentuales)]]/ABS(tblMSCalculada[[#This Row],[Materia seca registrada (%)]])</f>
        <v/>
      </c>
      <c r="P134" s="6">
        <f>AND(tblMSCalculada[[#This Row],[Diferencia absoluta de materia seca (puntos porcentuales)]]&gt;=5,tblMSCalculada[[#This Row],[Diferencia relativa de materia seca (proporción)]]&gt;=0.20)</f>
        <v/>
      </c>
      <c r="Q134" s="14" t="n">
        <v>15530.21052631579</v>
      </c>
      <c r="R134" s="14">
        <f>tblMSCalculada[[#This Row],[Peso verde en un metro (g)]]*(tblMSCalculada[[#This Row],[Materia seca registrada (%)]]/100)*10/INDEX(tblMetadatos[Valor],MATCH("biomass_sample_area_m2",tblMetadatos[Parámetro],0))</f>
        <v/>
      </c>
      <c r="S134" s="14">
        <f>tblMSCalculada[[#This Row],[Peso verde en un metro (g)]]*(tblMSCalculada[[#This Row],[Materia seca reconstruida (%)]]/100)*10/INDEX(tblMetadatos[Valor],MATCH("biomass_sample_area_m2",tblMetadatos[Parámetro],0))</f>
        <v/>
      </c>
      <c r="T134" s="14">
        <f>tblMSCalculada[[#This Row],[Biomasa recalculada con materia seca registrada (kg MS/ha)]]-tblMSCalculada[[#This Row],[Biomasa informada en el libro histórico (kg MS/ha)]]</f>
        <v/>
      </c>
      <c r="U134" s="14">
        <f>tblMSCalculada[[#This Row],[Macollos en 30 cm (macollos/30 cm)]]*(100/30)*(100/INDEX(tblMetadatos[Valor],MATCH("row_spacing_cm",tblMetadatos[Parámetro],0)))</f>
        <v/>
      </c>
    </row>
    <row r="135">
      <c r="A135" s="6" t="inlineStr">
        <is>
          <t>dm_20251112_riego_m0_r1</t>
        </is>
      </c>
      <c r="B135" s="13">
        <f>INDEX(tblMSRegistrada[Fecha],MATCH(tblMSCalculada[[#This Row],[Identificador de observación]],tblMSRegistrada[Identificador de observación],0))</f>
        <v/>
      </c>
      <c r="C135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35" s="6">
        <f>INDEX(tblMSRegistrada[Sector hídrico],MATCH(tblMSCalculada[[#This Row],[Identificador de observación]],tblMSRegistrada[Identificador de observación],0))</f>
        <v/>
      </c>
      <c r="E135" s="6">
        <f>INDEX(tblMSRegistrada[Tratamiento],MATCH(tblMSCalculada[[#This Row],[Identificador de observación]],tblMSRegistrada[Identificador de observación],0))</f>
        <v/>
      </c>
      <c r="F135" s="6">
        <f>INDEX(tblMSRegistrada[Bloque],MATCH(tblMSCalculada[[#This Row],[Identificador de observación]],tblMSRegistrada[Identificador de observación],0))</f>
        <v/>
      </c>
      <c r="G135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35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35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35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35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35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35" s="14">
        <f>100*tblMSCalculada[[#This Row],[Peso seco (g)]]/tblMSCalculada[[#This Row],[Peso verde de la muestra (g)]]</f>
        <v/>
      </c>
      <c r="N135" s="14">
        <f>ABS(tblMSCalculada[[#This Row],[Materia seca registrada (%)]]-tblMSCalculada[[#This Row],[Materia seca reconstruida (%)]])</f>
        <v/>
      </c>
      <c r="O135" s="14">
        <f>tblMSCalculada[[#This Row],[Diferencia absoluta de materia seca (puntos porcentuales)]]/ABS(tblMSCalculada[[#This Row],[Materia seca registrada (%)]])</f>
        <v/>
      </c>
      <c r="P135" s="6">
        <f>AND(tblMSCalculada[[#This Row],[Diferencia absoluta de materia seca (puntos porcentuales)]]&gt;=5,tblMSCalculada[[#This Row],[Diferencia relativa de materia seca (proporción)]]&gt;=0.20)</f>
        <v/>
      </c>
      <c r="Q135" s="14" t="n">
        <v>12032.07894736842</v>
      </c>
      <c r="R135" s="14">
        <f>tblMSCalculada[[#This Row],[Peso verde en un metro (g)]]*(tblMSCalculada[[#This Row],[Materia seca registrada (%)]]/100)*10/INDEX(tblMetadatos[Valor],MATCH("biomass_sample_area_m2",tblMetadatos[Parámetro],0))</f>
        <v/>
      </c>
      <c r="S135" s="14">
        <f>tblMSCalculada[[#This Row],[Peso verde en un metro (g)]]*(tblMSCalculada[[#This Row],[Materia seca reconstruida (%)]]/100)*10/INDEX(tblMetadatos[Valor],MATCH("biomass_sample_area_m2",tblMetadatos[Parámetro],0))</f>
        <v/>
      </c>
      <c r="T135" s="14">
        <f>tblMSCalculada[[#This Row],[Biomasa recalculada con materia seca registrada (kg MS/ha)]]-tblMSCalculada[[#This Row],[Biomasa informada en el libro histórico (kg MS/ha)]]</f>
        <v/>
      </c>
      <c r="U135" s="14">
        <f>tblMSCalculada[[#This Row],[Macollos en 30 cm (macollos/30 cm)]]*(100/30)*(100/INDEX(tblMetadatos[Valor],MATCH("row_spacing_cm",tblMetadatos[Parámetro],0)))</f>
        <v/>
      </c>
    </row>
    <row r="136">
      <c r="A136" s="6" t="inlineStr">
        <is>
          <t>dm_20251112_riego_m1_r1</t>
        </is>
      </c>
      <c r="B136" s="13">
        <f>INDEX(tblMSRegistrada[Fecha],MATCH(tblMSCalculada[[#This Row],[Identificador de observación]],tblMSRegistrada[Identificador de observación],0))</f>
        <v/>
      </c>
      <c r="C136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36" s="6">
        <f>INDEX(tblMSRegistrada[Sector hídrico],MATCH(tblMSCalculada[[#This Row],[Identificador de observación]],tblMSRegistrada[Identificador de observación],0))</f>
        <v/>
      </c>
      <c r="E136" s="6">
        <f>INDEX(tblMSRegistrada[Tratamiento],MATCH(tblMSCalculada[[#This Row],[Identificador de observación]],tblMSRegistrada[Identificador de observación],0))</f>
        <v/>
      </c>
      <c r="F136" s="6">
        <f>INDEX(tblMSRegistrada[Bloque],MATCH(tblMSCalculada[[#This Row],[Identificador de observación]],tblMSRegistrada[Identificador de observación],0))</f>
        <v/>
      </c>
      <c r="G136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36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36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36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36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36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36" s="14">
        <f>100*tblMSCalculada[[#This Row],[Peso seco (g)]]/tblMSCalculada[[#This Row],[Peso verde de la muestra (g)]]</f>
        <v/>
      </c>
      <c r="N136" s="14">
        <f>ABS(tblMSCalculada[[#This Row],[Materia seca registrada (%)]]-tblMSCalculada[[#This Row],[Materia seca reconstruida (%)]])</f>
        <v/>
      </c>
      <c r="O136" s="14">
        <f>tblMSCalculada[[#This Row],[Diferencia absoluta de materia seca (puntos porcentuales)]]/ABS(tblMSCalculada[[#This Row],[Materia seca registrada (%)]])</f>
        <v/>
      </c>
      <c r="P136" s="6">
        <f>AND(tblMSCalculada[[#This Row],[Diferencia absoluta de materia seca (puntos porcentuales)]]&gt;=5,tblMSCalculada[[#This Row],[Diferencia relativa de materia seca (proporción)]]&gt;=0.20)</f>
        <v/>
      </c>
      <c r="Q136" s="14" t="n">
        <v>14547.89473684211</v>
      </c>
      <c r="R136" s="14">
        <f>tblMSCalculada[[#This Row],[Peso verde en un metro (g)]]*(tblMSCalculada[[#This Row],[Materia seca registrada (%)]]/100)*10/INDEX(tblMetadatos[Valor],MATCH("biomass_sample_area_m2",tblMetadatos[Parámetro],0))</f>
        <v/>
      </c>
      <c r="S136" s="14">
        <f>tblMSCalculada[[#This Row],[Peso verde en un metro (g)]]*(tblMSCalculada[[#This Row],[Materia seca reconstruida (%)]]/100)*10/INDEX(tblMetadatos[Valor],MATCH("biomass_sample_area_m2",tblMetadatos[Parámetro],0))</f>
        <v/>
      </c>
      <c r="T136" s="14">
        <f>tblMSCalculada[[#This Row],[Biomasa recalculada con materia seca registrada (kg MS/ha)]]-tblMSCalculada[[#This Row],[Biomasa informada en el libro histórico (kg MS/ha)]]</f>
        <v/>
      </c>
      <c r="U136" s="14">
        <f>tblMSCalculada[[#This Row],[Macollos en 30 cm (macollos/30 cm)]]*(100/30)*(100/INDEX(tblMetadatos[Valor],MATCH("row_spacing_cm",tblMetadatos[Parámetro],0)))</f>
        <v/>
      </c>
    </row>
    <row r="137">
      <c r="A137" s="6" t="inlineStr">
        <is>
          <t>dm_20251112_riego_m2_r1</t>
        </is>
      </c>
      <c r="B137" s="13">
        <f>INDEX(tblMSRegistrada[Fecha],MATCH(tblMSCalculada[[#This Row],[Identificador de observación]],tblMSRegistrada[Identificador de observación],0))</f>
        <v/>
      </c>
      <c r="C137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37" s="6">
        <f>INDEX(tblMSRegistrada[Sector hídrico],MATCH(tblMSCalculada[[#This Row],[Identificador de observación]],tblMSRegistrada[Identificador de observación],0))</f>
        <v/>
      </c>
      <c r="E137" s="6">
        <f>INDEX(tblMSRegistrada[Tratamiento],MATCH(tblMSCalculada[[#This Row],[Identificador de observación]],tblMSRegistrada[Identificador de observación],0))</f>
        <v/>
      </c>
      <c r="F137" s="6">
        <f>INDEX(tblMSRegistrada[Bloque],MATCH(tblMSCalculada[[#This Row],[Identificador de observación]],tblMSRegistrada[Identificador de observación],0))</f>
        <v/>
      </c>
      <c r="G137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37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37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37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37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37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37" s="14">
        <f>100*tblMSCalculada[[#This Row],[Peso seco (g)]]/tblMSCalculada[[#This Row],[Peso verde de la muestra (g)]]</f>
        <v/>
      </c>
      <c r="N137" s="14">
        <f>ABS(tblMSCalculada[[#This Row],[Materia seca registrada (%)]]-tblMSCalculada[[#This Row],[Materia seca reconstruida (%)]])</f>
        <v/>
      </c>
      <c r="O137" s="14">
        <f>tblMSCalculada[[#This Row],[Diferencia absoluta de materia seca (puntos porcentuales)]]/ABS(tblMSCalculada[[#This Row],[Materia seca registrada (%)]])</f>
        <v/>
      </c>
      <c r="P137" s="6">
        <f>AND(tblMSCalculada[[#This Row],[Diferencia absoluta de materia seca (puntos porcentuales)]]&gt;=5,tblMSCalculada[[#This Row],[Diferencia relativa de materia seca (proporción)]]&gt;=0.20)</f>
        <v/>
      </c>
      <c r="Q137" s="14" t="n">
        <v>12200.26315789474</v>
      </c>
      <c r="R137" s="14">
        <f>tblMSCalculada[[#This Row],[Peso verde en un metro (g)]]*(tblMSCalculada[[#This Row],[Materia seca registrada (%)]]/100)*10/INDEX(tblMetadatos[Valor],MATCH("biomass_sample_area_m2",tblMetadatos[Parámetro],0))</f>
        <v/>
      </c>
      <c r="S137" s="14">
        <f>tblMSCalculada[[#This Row],[Peso verde en un metro (g)]]*(tblMSCalculada[[#This Row],[Materia seca reconstruida (%)]]/100)*10/INDEX(tblMetadatos[Valor],MATCH("biomass_sample_area_m2",tblMetadatos[Parámetro],0))</f>
        <v/>
      </c>
      <c r="T137" s="14">
        <f>tblMSCalculada[[#This Row],[Biomasa recalculada con materia seca registrada (kg MS/ha)]]-tblMSCalculada[[#This Row],[Biomasa informada en el libro histórico (kg MS/ha)]]</f>
        <v/>
      </c>
      <c r="U137" s="14">
        <f>tblMSCalculada[[#This Row],[Macollos en 30 cm (macollos/30 cm)]]*(100/30)*(100/INDEX(tblMetadatos[Valor],MATCH("row_spacing_cm",tblMetadatos[Parámetro],0)))</f>
        <v/>
      </c>
    </row>
    <row r="138">
      <c r="A138" s="6" t="inlineStr">
        <is>
          <t>dm_20251112_riego_m3_r1</t>
        </is>
      </c>
      <c r="B138" s="13">
        <f>INDEX(tblMSRegistrada[Fecha],MATCH(tblMSCalculada[[#This Row],[Identificador de observación]],tblMSRegistrada[Identificador de observación],0))</f>
        <v/>
      </c>
      <c r="C138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38" s="6">
        <f>INDEX(tblMSRegistrada[Sector hídrico],MATCH(tblMSCalculada[[#This Row],[Identificador de observación]],tblMSRegistrada[Identificador de observación],0))</f>
        <v/>
      </c>
      <c r="E138" s="6">
        <f>INDEX(tblMSRegistrada[Tratamiento],MATCH(tblMSCalculada[[#This Row],[Identificador de observación]],tblMSRegistrada[Identificador de observación],0))</f>
        <v/>
      </c>
      <c r="F138" s="6">
        <f>INDEX(tblMSRegistrada[Bloque],MATCH(tblMSCalculada[[#This Row],[Identificador de observación]],tblMSRegistrada[Identificador de observación],0))</f>
        <v/>
      </c>
      <c r="G138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38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38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38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38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38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38" s="14">
        <f>100*tblMSCalculada[[#This Row],[Peso seco (g)]]/tblMSCalculada[[#This Row],[Peso verde de la muestra (g)]]</f>
        <v/>
      </c>
      <c r="N138" s="14">
        <f>ABS(tblMSCalculada[[#This Row],[Materia seca registrada (%)]]-tblMSCalculada[[#This Row],[Materia seca reconstruida (%)]])</f>
        <v/>
      </c>
      <c r="O138" s="14">
        <f>tblMSCalculada[[#This Row],[Diferencia absoluta de materia seca (puntos porcentuales)]]/ABS(tblMSCalculada[[#This Row],[Materia seca registrada (%)]])</f>
        <v/>
      </c>
      <c r="P138" s="6">
        <f>AND(tblMSCalculada[[#This Row],[Diferencia absoluta de materia seca (puntos porcentuales)]]&gt;=5,tblMSCalculada[[#This Row],[Diferencia relativa de materia seca (proporción)]]&gt;=0.20)</f>
        <v/>
      </c>
      <c r="Q138" s="14" t="n">
        <v>11583.94736842105</v>
      </c>
      <c r="R138" s="14">
        <f>tblMSCalculada[[#This Row],[Peso verde en un metro (g)]]*(tblMSCalculada[[#This Row],[Materia seca registrada (%)]]/100)*10/INDEX(tblMetadatos[Valor],MATCH("biomass_sample_area_m2",tblMetadatos[Parámetro],0))</f>
        <v/>
      </c>
      <c r="S138" s="14">
        <f>tblMSCalculada[[#This Row],[Peso verde en un metro (g)]]*(tblMSCalculada[[#This Row],[Materia seca reconstruida (%)]]/100)*10/INDEX(tblMetadatos[Valor],MATCH("biomass_sample_area_m2",tblMetadatos[Parámetro],0))</f>
        <v/>
      </c>
      <c r="T138" s="14">
        <f>tblMSCalculada[[#This Row],[Biomasa recalculada con materia seca registrada (kg MS/ha)]]-tblMSCalculada[[#This Row],[Biomasa informada en el libro histórico (kg MS/ha)]]</f>
        <v/>
      </c>
      <c r="U138" s="14">
        <f>tblMSCalculada[[#This Row],[Macollos en 30 cm (macollos/30 cm)]]*(100/30)*(100/INDEX(tblMetadatos[Valor],MATCH("row_spacing_cm",tblMetadatos[Parámetro],0)))</f>
        <v/>
      </c>
    </row>
    <row r="139">
      <c r="A139" s="6" t="inlineStr">
        <is>
          <t>dm_20251112_riego_m4_r1</t>
        </is>
      </c>
      <c r="B139" s="13">
        <f>INDEX(tblMSRegistrada[Fecha],MATCH(tblMSCalculada[[#This Row],[Identificador de observación]],tblMSRegistrada[Identificador de observación],0))</f>
        <v/>
      </c>
      <c r="C139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39" s="6">
        <f>INDEX(tblMSRegistrada[Sector hídrico],MATCH(tblMSCalculada[[#This Row],[Identificador de observación]],tblMSRegistrada[Identificador de observación],0))</f>
        <v/>
      </c>
      <c r="E139" s="6">
        <f>INDEX(tblMSRegistrada[Tratamiento],MATCH(tblMSCalculada[[#This Row],[Identificador de observación]],tblMSRegistrada[Identificador de observación],0))</f>
        <v/>
      </c>
      <c r="F139" s="6">
        <f>INDEX(tblMSRegistrada[Bloque],MATCH(tblMSCalculada[[#This Row],[Identificador de observación]],tblMSRegistrada[Identificador de observación],0))</f>
        <v/>
      </c>
      <c r="G139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39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39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39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39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39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39" s="14">
        <f>100*tblMSCalculada[[#This Row],[Peso seco (g)]]/tblMSCalculada[[#This Row],[Peso verde de la muestra (g)]]</f>
        <v/>
      </c>
      <c r="N139" s="14">
        <f>ABS(tblMSCalculada[[#This Row],[Materia seca registrada (%)]]-tblMSCalculada[[#This Row],[Materia seca reconstruida (%)]])</f>
        <v/>
      </c>
      <c r="O139" s="14">
        <f>tblMSCalculada[[#This Row],[Diferencia absoluta de materia seca (puntos porcentuales)]]/ABS(tblMSCalculada[[#This Row],[Materia seca registrada (%)]])</f>
        <v/>
      </c>
      <c r="P139" s="6">
        <f>AND(tblMSCalculada[[#This Row],[Diferencia absoluta de materia seca (puntos porcentuales)]]&gt;=5,tblMSCalculada[[#This Row],[Diferencia relativa de materia seca (proporción)]]&gt;=0.20)</f>
        <v/>
      </c>
      <c r="Q139" s="14" t="n">
        <v>13762.57894736842</v>
      </c>
      <c r="R139" s="14">
        <f>tblMSCalculada[[#This Row],[Peso verde en un metro (g)]]*(tblMSCalculada[[#This Row],[Materia seca registrada (%)]]/100)*10/INDEX(tblMetadatos[Valor],MATCH("biomass_sample_area_m2",tblMetadatos[Parámetro],0))</f>
        <v/>
      </c>
      <c r="S139" s="14">
        <f>tblMSCalculada[[#This Row],[Peso verde en un metro (g)]]*(tblMSCalculada[[#This Row],[Materia seca reconstruida (%)]]/100)*10/INDEX(tblMetadatos[Valor],MATCH("biomass_sample_area_m2",tblMetadatos[Parámetro],0))</f>
        <v/>
      </c>
      <c r="T139" s="14">
        <f>tblMSCalculada[[#This Row],[Biomasa recalculada con materia seca registrada (kg MS/ha)]]-tblMSCalculada[[#This Row],[Biomasa informada en el libro histórico (kg MS/ha)]]</f>
        <v/>
      </c>
      <c r="U139" s="14">
        <f>tblMSCalculada[[#This Row],[Macollos en 30 cm (macollos/30 cm)]]*(100/30)*(100/INDEX(tblMetadatos[Valor],MATCH("row_spacing_cm",tblMetadatos[Parámetro],0)))</f>
        <v/>
      </c>
    </row>
    <row r="140">
      <c r="A140" s="6" t="inlineStr">
        <is>
          <t>dm_20251112_riego_m5_r1</t>
        </is>
      </c>
      <c r="B140" s="13">
        <f>INDEX(tblMSRegistrada[Fecha],MATCH(tblMSCalculada[[#This Row],[Identificador de observación]],tblMSRegistrada[Identificador de observación],0))</f>
        <v/>
      </c>
      <c r="C140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40" s="6">
        <f>INDEX(tblMSRegistrada[Sector hídrico],MATCH(tblMSCalculada[[#This Row],[Identificador de observación]],tblMSRegistrada[Identificador de observación],0))</f>
        <v/>
      </c>
      <c r="E140" s="6">
        <f>INDEX(tblMSRegistrada[Tratamiento],MATCH(tblMSCalculada[[#This Row],[Identificador de observación]],tblMSRegistrada[Identificador de observación],0))</f>
        <v/>
      </c>
      <c r="F140" s="6">
        <f>INDEX(tblMSRegistrada[Bloque],MATCH(tblMSCalculada[[#This Row],[Identificador de observación]],tblMSRegistrada[Identificador de observación],0))</f>
        <v/>
      </c>
      <c r="G140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40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40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40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40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40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40" s="14">
        <f>100*tblMSCalculada[[#This Row],[Peso seco (g)]]/tblMSCalculada[[#This Row],[Peso verde de la muestra (g)]]</f>
        <v/>
      </c>
      <c r="N140" s="14">
        <f>ABS(tblMSCalculada[[#This Row],[Materia seca registrada (%)]]-tblMSCalculada[[#This Row],[Materia seca reconstruida (%)]])</f>
        <v/>
      </c>
      <c r="O140" s="14">
        <f>tblMSCalculada[[#This Row],[Diferencia absoluta de materia seca (puntos porcentuales)]]/ABS(tblMSCalculada[[#This Row],[Materia seca registrada (%)]])</f>
        <v/>
      </c>
      <c r="P140" s="6">
        <f>AND(tblMSCalculada[[#This Row],[Diferencia absoluta de materia seca (puntos porcentuales)]]&gt;=5,tblMSCalculada[[#This Row],[Diferencia relativa de materia seca (proporción)]]&gt;=0.20)</f>
        <v/>
      </c>
      <c r="Q140" s="14" t="n">
        <v>10043.15789473684</v>
      </c>
      <c r="R140" s="14">
        <f>tblMSCalculada[[#This Row],[Peso verde en un metro (g)]]*(tblMSCalculada[[#This Row],[Materia seca registrada (%)]]/100)*10/INDEX(tblMetadatos[Valor],MATCH("biomass_sample_area_m2",tblMetadatos[Parámetro],0))</f>
        <v/>
      </c>
      <c r="S140" s="14">
        <f>tblMSCalculada[[#This Row],[Peso verde en un metro (g)]]*(tblMSCalculada[[#This Row],[Materia seca reconstruida (%)]]/100)*10/INDEX(tblMetadatos[Valor],MATCH("biomass_sample_area_m2",tblMetadatos[Parámetro],0))</f>
        <v/>
      </c>
      <c r="T140" s="14">
        <f>tblMSCalculada[[#This Row],[Biomasa recalculada con materia seca registrada (kg MS/ha)]]-tblMSCalculada[[#This Row],[Biomasa informada en el libro histórico (kg MS/ha)]]</f>
        <v/>
      </c>
      <c r="U140" s="14">
        <f>tblMSCalculada[[#This Row],[Macollos en 30 cm (macollos/30 cm)]]*(100/30)*(100/INDEX(tblMetadatos[Valor],MATCH("row_spacing_cm",tblMetadatos[Parámetro],0)))</f>
        <v/>
      </c>
    </row>
    <row r="141">
      <c r="A141" s="6" t="inlineStr">
        <is>
          <t>dm_20251112_riego_m3_r2</t>
        </is>
      </c>
      <c r="B141" s="13">
        <f>INDEX(tblMSRegistrada[Fecha],MATCH(tblMSCalculada[[#This Row],[Identificador de observación]],tblMSRegistrada[Identificador de observación],0))</f>
        <v/>
      </c>
      <c r="C141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41" s="6">
        <f>INDEX(tblMSRegistrada[Sector hídrico],MATCH(tblMSCalculada[[#This Row],[Identificador de observación]],tblMSRegistrada[Identificador de observación],0))</f>
        <v/>
      </c>
      <c r="E141" s="6">
        <f>INDEX(tblMSRegistrada[Tratamiento],MATCH(tblMSCalculada[[#This Row],[Identificador de observación]],tblMSRegistrada[Identificador de observación],0))</f>
        <v/>
      </c>
      <c r="F141" s="6">
        <f>INDEX(tblMSRegistrada[Bloque],MATCH(tblMSCalculada[[#This Row],[Identificador de observación]],tblMSRegistrada[Identificador de observación],0))</f>
        <v/>
      </c>
      <c r="G141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41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41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41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41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41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41" s="14">
        <f>100*tblMSCalculada[[#This Row],[Peso seco (g)]]/tblMSCalculada[[#This Row],[Peso verde de la muestra (g)]]</f>
        <v/>
      </c>
      <c r="N141" s="14">
        <f>ABS(tblMSCalculada[[#This Row],[Materia seca registrada (%)]]-tblMSCalculada[[#This Row],[Materia seca reconstruida (%)]])</f>
        <v/>
      </c>
      <c r="O141" s="14">
        <f>tblMSCalculada[[#This Row],[Diferencia absoluta de materia seca (puntos porcentuales)]]/ABS(tblMSCalculada[[#This Row],[Materia seca registrada (%)]])</f>
        <v/>
      </c>
      <c r="P141" s="6">
        <f>AND(tblMSCalculada[[#This Row],[Diferencia absoluta de materia seca (puntos porcentuales)]]&gt;=5,tblMSCalculada[[#This Row],[Diferencia relativa de materia seca (proporción)]]&gt;=0.20)</f>
        <v/>
      </c>
      <c r="Q141" s="14" t="n">
        <v>12133.94736842105</v>
      </c>
      <c r="R141" s="14">
        <f>tblMSCalculada[[#This Row],[Peso verde en un metro (g)]]*(tblMSCalculada[[#This Row],[Materia seca registrada (%)]]/100)*10/INDEX(tblMetadatos[Valor],MATCH("biomass_sample_area_m2",tblMetadatos[Parámetro],0))</f>
        <v/>
      </c>
      <c r="S141" s="14">
        <f>tblMSCalculada[[#This Row],[Peso verde en un metro (g)]]*(tblMSCalculada[[#This Row],[Materia seca reconstruida (%)]]/100)*10/INDEX(tblMetadatos[Valor],MATCH("biomass_sample_area_m2",tblMetadatos[Parámetro],0))</f>
        <v/>
      </c>
      <c r="T141" s="14">
        <f>tblMSCalculada[[#This Row],[Biomasa recalculada con materia seca registrada (kg MS/ha)]]-tblMSCalculada[[#This Row],[Biomasa informada en el libro histórico (kg MS/ha)]]</f>
        <v/>
      </c>
      <c r="U141" s="14">
        <f>tblMSCalculada[[#This Row],[Macollos en 30 cm (macollos/30 cm)]]*(100/30)*(100/INDEX(tblMetadatos[Valor],MATCH("row_spacing_cm",tblMetadatos[Parámetro],0)))</f>
        <v/>
      </c>
    </row>
    <row r="142">
      <c r="A142" s="6" t="inlineStr">
        <is>
          <t>dm_20251112_riego_m2_r2</t>
        </is>
      </c>
      <c r="B142" s="13">
        <f>INDEX(tblMSRegistrada[Fecha],MATCH(tblMSCalculada[[#This Row],[Identificador de observación]],tblMSRegistrada[Identificador de observación],0))</f>
        <v/>
      </c>
      <c r="C142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42" s="6">
        <f>INDEX(tblMSRegistrada[Sector hídrico],MATCH(tblMSCalculada[[#This Row],[Identificador de observación]],tblMSRegistrada[Identificador de observación],0))</f>
        <v/>
      </c>
      <c r="E142" s="6">
        <f>INDEX(tblMSRegistrada[Tratamiento],MATCH(tblMSCalculada[[#This Row],[Identificador de observación]],tblMSRegistrada[Identificador de observación],0))</f>
        <v/>
      </c>
      <c r="F142" s="6">
        <f>INDEX(tblMSRegistrada[Bloque],MATCH(tblMSCalculada[[#This Row],[Identificador de observación]],tblMSRegistrada[Identificador de observación],0))</f>
        <v/>
      </c>
      <c r="G142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42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42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42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42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42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42" s="14">
        <f>100*tblMSCalculada[[#This Row],[Peso seco (g)]]/tblMSCalculada[[#This Row],[Peso verde de la muestra (g)]]</f>
        <v/>
      </c>
      <c r="N142" s="14">
        <f>ABS(tblMSCalculada[[#This Row],[Materia seca registrada (%)]]-tblMSCalculada[[#This Row],[Materia seca reconstruida (%)]])</f>
        <v/>
      </c>
      <c r="O142" s="14">
        <f>tblMSCalculada[[#This Row],[Diferencia absoluta de materia seca (puntos porcentuales)]]/ABS(tblMSCalculada[[#This Row],[Materia seca registrada (%)]])</f>
        <v/>
      </c>
      <c r="P142" s="6">
        <f>AND(tblMSCalculada[[#This Row],[Diferencia absoluta de materia seca (puntos porcentuales)]]&gt;=5,tblMSCalculada[[#This Row],[Diferencia relativa de materia seca (proporción)]]&gt;=0.20)</f>
        <v/>
      </c>
      <c r="Q142" s="14" t="n">
        <v>13899.78947368421</v>
      </c>
      <c r="R142" s="14">
        <f>tblMSCalculada[[#This Row],[Peso verde en un metro (g)]]*(tblMSCalculada[[#This Row],[Materia seca registrada (%)]]/100)*10/INDEX(tblMetadatos[Valor],MATCH("biomass_sample_area_m2",tblMetadatos[Parámetro],0))</f>
        <v/>
      </c>
      <c r="S142" s="14">
        <f>tblMSCalculada[[#This Row],[Peso verde en un metro (g)]]*(tblMSCalculada[[#This Row],[Materia seca reconstruida (%)]]/100)*10/INDEX(tblMetadatos[Valor],MATCH("biomass_sample_area_m2",tblMetadatos[Parámetro],0))</f>
        <v/>
      </c>
      <c r="T142" s="14">
        <f>tblMSCalculada[[#This Row],[Biomasa recalculada con materia seca registrada (kg MS/ha)]]-tblMSCalculada[[#This Row],[Biomasa informada en el libro histórico (kg MS/ha)]]</f>
        <v/>
      </c>
      <c r="U142" s="14">
        <f>tblMSCalculada[[#This Row],[Macollos en 30 cm (macollos/30 cm)]]*(100/30)*(100/INDEX(tblMetadatos[Valor],MATCH("row_spacing_cm",tblMetadatos[Parámetro],0)))</f>
        <v/>
      </c>
    </row>
    <row r="143">
      <c r="A143" s="6" t="inlineStr">
        <is>
          <t>dm_20251112_riego_m4_r2</t>
        </is>
      </c>
      <c r="B143" s="13">
        <f>INDEX(tblMSRegistrada[Fecha],MATCH(tblMSCalculada[[#This Row],[Identificador de observación]],tblMSRegistrada[Identificador de observación],0))</f>
        <v/>
      </c>
      <c r="C143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43" s="6">
        <f>INDEX(tblMSRegistrada[Sector hídrico],MATCH(tblMSCalculada[[#This Row],[Identificador de observación]],tblMSRegistrada[Identificador de observación],0))</f>
        <v/>
      </c>
      <c r="E143" s="6">
        <f>INDEX(tblMSRegistrada[Tratamiento],MATCH(tblMSCalculada[[#This Row],[Identificador de observación]],tblMSRegistrada[Identificador de observación],0))</f>
        <v/>
      </c>
      <c r="F143" s="6">
        <f>INDEX(tblMSRegistrada[Bloque],MATCH(tblMSCalculada[[#This Row],[Identificador de observación]],tblMSRegistrada[Identificador de observación],0))</f>
        <v/>
      </c>
      <c r="G143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43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43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43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43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43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43" s="14">
        <f>100*tblMSCalculada[[#This Row],[Peso seco (g)]]/tblMSCalculada[[#This Row],[Peso verde de la muestra (g)]]</f>
        <v/>
      </c>
      <c r="N143" s="14">
        <f>ABS(tblMSCalculada[[#This Row],[Materia seca registrada (%)]]-tblMSCalculada[[#This Row],[Materia seca reconstruida (%)]])</f>
        <v/>
      </c>
      <c r="O143" s="14">
        <f>tblMSCalculada[[#This Row],[Diferencia absoluta de materia seca (puntos porcentuales)]]/ABS(tblMSCalculada[[#This Row],[Materia seca registrada (%)]])</f>
        <v/>
      </c>
      <c r="P143" s="6">
        <f>AND(tblMSCalculada[[#This Row],[Diferencia absoluta de materia seca (puntos porcentuales)]]&gt;=5,tblMSCalculada[[#This Row],[Diferencia relativa de materia seca (proporción)]]&gt;=0.20)</f>
        <v/>
      </c>
      <c r="Q143" s="14" t="n">
        <v>13658.68421052632</v>
      </c>
      <c r="R143" s="14">
        <f>tblMSCalculada[[#This Row],[Peso verde en un metro (g)]]*(tblMSCalculada[[#This Row],[Materia seca registrada (%)]]/100)*10/INDEX(tblMetadatos[Valor],MATCH("biomass_sample_area_m2",tblMetadatos[Parámetro],0))</f>
        <v/>
      </c>
      <c r="S143" s="14">
        <f>tblMSCalculada[[#This Row],[Peso verde en un metro (g)]]*(tblMSCalculada[[#This Row],[Materia seca reconstruida (%)]]/100)*10/INDEX(tblMetadatos[Valor],MATCH("biomass_sample_area_m2",tblMetadatos[Parámetro],0))</f>
        <v/>
      </c>
      <c r="T143" s="14">
        <f>tblMSCalculada[[#This Row],[Biomasa recalculada con materia seca registrada (kg MS/ha)]]-tblMSCalculada[[#This Row],[Biomasa informada en el libro histórico (kg MS/ha)]]</f>
        <v/>
      </c>
      <c r="U143" s="14">
        <f>tblMSCalculada[[#This Row],[Macollos en 30 cm (macollos/30 cm)]]*(100/30)*(100/INDEX(tblMetadatos[Valor],MATCH("row_spacing_cm",tblMetadatos[Parámetro],0)))</f>
        <v/>
      </c>
    </row>
    <row r="144">
      <c r="A144" s="6" t="inlineStr">
        <is>
          <t>dm_20251112_riego_m0_r2</t>
        </is>
      </c>
      <c r="B144" s="13">
        <f>INDEX(tblMSRegistrada[Fecha],MATCH(tblMSCalculada[[#This Row],[Identificador de observación]],tblMSRegistrada[Identificador de observación],0))</f>
        <v/>
      </c>
      <c r="C144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44" s="6">
        <f>INDEX(tblMSRegistrada[Sector hídrico],MATCH(tblMSCalculada[[#This Row],[Identificador de observación]],tblMSRegistrada[Identificador de observación],0))</f>
        <v/>
      </c>
      <c r="E144" s="6">
        <f>INDEX(tblMSRegistrada[Tratamiento],MATCH(tblMSCalculada[[#This Row],[Identificador de observación]],tblMSRegistrada[Identificador de observación],0))</f>
        <v/>
      </c>
      <c r="F144" s="6">
        <f>INDEX(tblMSRegistrada[Bloque],MATCH(tblMSCalculada[[#This Row],[Identificador de observación]],tblMSRegistrada[Identificador de observación],0))</f>
        <v/>
      </c>
      <c r="G144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44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44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44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44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44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44" s="14">
        <f>100*tblMSCalculada[[#This Row],[Peso seco (g)]]/tblMSCalculada[[#This Row],[Peso verde de la muestra (g)]]</f>
        <v/>
      </c>
      <c r="N144" s="14">
        <f>ABS(tblMSCalculada[[#This Row],[Materia seca registrada (%)]]-tblMSCalculada[[#This Row],[Materia seca reconstruida (%)]])</f>
        <v/>
      </c>
      <c r="O144" s="14">
        <f>tblMSCalculada[[#This Row],[Diferencia absoluta de materia seca (puntos porcentuales)]]/ABS(tblMSCalculada[[#This Row],[Materia seca registrada (%)]])</f>
        <v/>
      </c>
      <c r="P144" s="6">
        <f>AND(tblMSCalculada[[#This Row],[Diferencia absoluta de materia seca (puntos porcentuales)]]&gt;=5,tblMSCalculada[[#This Row],[Diferencia relativa de materia seca (proporción)]]&gt;=0.20)</f>
        <v/>
      </c>
      <c r="Q144" s="14" t="n">
        <v>14957.28947368421</v>
      </c>
      <c r="R144" s="14">
        <f>tblMSCalculada[[#This Row],[Peso verde en un metro (g)]]*(tblMSCalculada[[#This Row],[Materia seca registrada (%)]]/100)*10/INDEX(tblMetadatos[Valor],MATCH("biomass_sample_area_m2",tblMetadatos[Parámetro],0))</f>
        <v/>
      </c>
      <c r="S144" s="14">
        <f>tblMSCalculada[[#This Row],[Peso verde en un metro (g)]]*(tblMSCalculada[[#This Row],[Materia seca reconstruida (%)]]/100)*10/INDEX(tblMetadatos[Valor],MATCH("biomass_sample_area_m2",tblMetadatos[Parámetro],0))</f>
        <v/>
      </c>
      <c r="T144" s="14">
        <f>tblMSCalculada[[#This Row],[Biomasa recalculada con materia seca registrada (kg MS/ha)]]-tblMSCalculada[[#This Row],[Biomasa informada en el libro histórico (kg MS/ha)]]</f>
        <v/>
      </c>
      <c r="U144" s="14">
        <f>tblMSCalculada[[#This Row],[Macollos en 30 cm (macollos/30 cm)]]*(100/30)*(100/INDEX(tblMetadatos[Valor],MATCH("row_spacing_cm",tblMetadatos[Parámetro],0)))</f>
        <v/>
      </c>
    </row>
    <row r="145">
      <c r="A145" s="6" t="inlineStr">
        <is>
          <t>dm_20251112_riego_m1_r2</t>
        </is>
      </c>
      <c r="B145" s="13">
        <f>INDEX(tblMSRegistrada[Fecha],MATCH(tblMSCalculada[[#This Row],[Identificador de observación]],tblMSRegistrada[Identificador de observación],0))</f>
        <v/>
      </c>
      <c r="C145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45" s="6">
        <f>INDEX(tblMSRegistrada[Sector hídrico],MATCH(tblMSCalculada[[#This Row],[Identificador de observación]],tblMSRegistrada[Identificador de observación],0))</f>
        <v/>
      </c>
      <c r="E145" s="6">
        <f>INDEX(tblMSRegistrada[Tratamiento],MATCH(tblMSCalculada[[#This Row],[Identificador de observación]],tblMSRegistrada[Identificador de observación],0))</f>
        <v/>
      </c>
      <c r="F145" s="6">
        <f>INDEX(tblMSRegistrada[Bloque],MATCH(tblMSCalculada[[#This Row],[Identificador de observación]],tblMSRegistrada[Identificador de observación],0))</f>
        <v/>
      </c>
      <c r="G145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45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45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45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45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45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45" s="14">
        <f>100*tblMSCalculada[[#This Row],[Peso seco (g)]]/tblMSCalculada[[#This Row],[Peso verde de la muestra (g)]]</f>
        <v/>
      </c>
      <c r="N145" s="14">
        <f>ABS(tblMSCalculada[[#This Row],[Materia seca registrada (%)]]-tblMSCalculada[[#This Row],[Materia seca reconstruida (%)]])</f>
        <v/>
      </c>
      <c r="O145" s="14">
        <f>tblMSCalculada[[#This Row],[Diferencia absoluta de materia seca (puntos porcentuales)]]/ABS(tblMSCalculada[[#This Row],[Materia seca registrada (%)]])</f>
        <v/>
      </c>
      <c r="P145" s="6">
        <f>AND(tblMSCalculada[[#This Row],[Diferencia absoluta de materia seca (puntos porcentuales)]]&gt;=5,tblMSCalculada[[#This Row],[Diferencia relativa de materia seca (proporción)]]&gt;=0.20)</f>
        <v/>
      </c>
      <c r="Q145" s="14" t="n">
        <v>11905</v>
      </c>
      <c r="R145" s="14">
        <f>tblMSCalculada[[#This Row],[Peso verde en un metro (g)]]*(tblMSCalculada[[#This Row],[Materia seca registrada (%)]]/100)*10/INDEX(tblMetadatos[Valor],MATCH("biomass_sample_area_m2",tblMetadatos[Parámetro],0))</f>
        <v/>
      </c>
      <c r="S145" s="14">
        <f>tblMSCalculada[[#This Row],[Peso verde en un metro (g)]]*(tblMSCalculada[[#This Row],[Materia seca reconstruida (%)]]/100)*10/INDEX(tblMetadatos[Valor],MATCH("biomass_sample_area_m2",tblMetadatos[Parámetro],0))</f>
        <v/>
      </c>
      <c r="T145" s="14">
        <f>tblMSCalculada[[#This Row],[Biomasa recalculada con materia seca registrada (kg MS/ha)]]-tblMSCalculada[[#This Row],[Biomasa informada en el libro histórico (kg MS/ha)]]</f>
        <v/>
      </c>
      <c r="U145" s="14">
        <f>tblMSCalculada[[#This Row],[Macollos en 30 cm (macollos/30 cm)]]*(100/30)*(100/INDEX(tblMetadatos[Valor],MATCH("row_spacing_cm",tblMetadatos[Parámetro],0)))</f>
        <v/>
      </c>
    </row>
    <row r="146">
      <c r="A146" s="6" t="inlineStr">
        <is>
          <t>dm_20251112_riego_m5_r2</t>
        </is>
      </c>
      <c r="B146" s="13">
        <f>INDEX(tblMSRegistrada[Fecha],MATCH(tblMSCalculada[[#This Row],[Identificador de observación]],tblMSRegistrada[Identificador de observación],0))</f>
        <v/>
      </c>
      <c r="C146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46" s="6">
        <f>INDEX(tblMSRegistrada[Sector hídrico],MATCH(tblMSCalculada[[#This Row],[Identificador de observación]],tblMSRegistrada[Identificador de observación],0))</f>
        <v/>
      </c>
      <c r="E146" s="6">
        <f>INDEX(tblMSRegistrada[Tratamiento],MATCH(tblMSCalculada[[#This Row],[Identificador de observación]],tblMSRegistrada[Identificador de observación],0))</f>
        <v/>
      </c>
      <c r="F146" s="6">
        <f>INDEX(tblMSRegistrada[Bloque],MATCH(tblMSCalculada[[#This Row],[Identificador de observación]],tblMSRegistrada[Identificador de observación],0))</f>
        <v/>
      </c>
      <c r="G146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46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46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46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46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46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46" s="14">
        <f>100*tblMSCalculada[[#This Row],[Peso seco (g)]]/tblMSCalculada[[#This Row],[Peso verde de la muestra (g)]]</f>
        <v/>
      </c>
      <c r="N146" s="14">
        <f>ABS(tblMSCalculada[[#This Row],[Materia seca registrada (%)]]-tblMSCalculada[[#This Row],[Materia seca reconstruida (%)]])</f>
        <v/>
      </c>
      <c r="O146" s="14">
        <f>tblMSCalculada[[#This Row],[Diferencia absoluta de materia seca (puntos porcentuales)]]/ABS(tblMSCalculada[[#This Row],[Materia seca registrada (%)]])</f>
        <v/>
      </c>
      <c r="P146" s="6">
        <f>AND(tblMSCalculada[[#This Row],[Diferencia absoluta de materia seca (puntos porcentuales)]]&gt;=5,tblMSCalculada[[#This Row],[Diferencia relativa de materia seca (proporción)]]&gt;=0.20)</f>
        <v/>
      </c>
      <c r="Q146" s="14" t="n">
        <v>10865.47368421053</v>
      </c>
      <c r="R146" s="14">
        <f>tblMSCalculada[[#This Row],[Peso verde en un metro (g)]]*(tblMSCalculada[[#This Row],[Materia seca registrada (%)]]/100)*10/INDEX(tblMetadatos[Valor],MATCH("biomass_sample_area_m2",tblMetadatos[Parámetro],0))</f>
        <v/>
      </c>
      <c r="S146" s="14">
        <f>tblMSCalculada[[#This Row],[Peso verde en un metro (g)]]*(tblMSCalculada[[#This Row],[Materia seca reconstruida (%)]]/100)*10/INDEX(tblMetadatos[Valor],MATCH("biomass_sample_area_m2",tblMetadatos[Parámetro],0))</f>
        <v/>
      </c>
      <c r="T146" s="14">
        <f>tblMSCalculada[[#This Row],[Biomasa recalculada con materia seca registrada (kg MS/ha)]]-tblMSCalculada[[#This Row],[Biomasa informada en el libro histórico (kg MS/ha)]]</f>
        <v/>
      </c>
      <c r="U146" s="14">
        <f>tblMSCalculada[[#This Row],[Macollos en 30 cm (macollos/30 cm)]]*(100/30)*(100/INDEX(tblMetadatos[Valor],MATCH("row_spacing_cm",tblMetadatos[Parámetro],0)))</f>
        <v/>
      </c>
    </row>
    <row r="147">
      <c r="A147" s="6" t="inlineStr">
        <is>
          <t>dm_20251112_riego_m3_r3</t>
        </is>
      </c>
      <c r="B147" s="13">
        <f>INDEX(tblMSRegistrada[Fecha],MATCH(tblMSCalculada[[#This Row],[Identificador de observación]],tblMSRegistrada[Identificador de observación],0))</f>
        <v/>
      </c>
      <c r="C147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47" s="6">
        <f>INDEX(tblMSRegistrada[Sector hídrico],MATCH(tblMSCalculada[[#This Row],[Identificador de observación]],tblMSRegistrada[Identificador de observación],0))</f>
        <v/>
      </c>
      <c r="E147" s="6">
        <f>INDEX(tblMSRegistrada[Tratamiento],MATCH(tblMSCalculada[[#This Row],[Identificador de observación]],tblMSRegistrada[Identificador de observación],0))</f>
        <v/>
      </c>
      <c r="F147" s="6">
        <f>INDEX(tblMSRegistrada[Bloque],MATCH(tblMSCalculada[[#This Row],[Identificador de observación]],tblMSRegistrada[Identificador de observación],0))</f>
        <v/>
      </c>
      <c r="G147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47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47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47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47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47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47" s="14">
        <f>100*tblMSCalculada[[#This Row],[Peso seco (g)]]/tblMSCalculada[[#This Row],[Peso verde de la muestra (g)]]</f>
        <v/>
      </c>
      <c r="N147" s="14">
        <f>ABS(tblMSCalculada[[#This Row],[Materia seca registrada (%)]]-tblMSCalculada[[#This Row],[Materia seca reconstruida (%)]])</f>
        <v/>
      </c>
      <c r="O147" s="14">
        <f>tblMSCalculada[[#This Row],[Diferencia absoluta de materia seca (puntos porcentuales)]]/ABS(tblMSCalculada[[#This Row],[Materia seca registrada (%)]])</f>
        <v/>
      </c>
      <c r="P147" s="6">
        <f>AND(tblMSCalculada[[#This Row],[Diferencia absoluta de materia seca (puntos porcentuales)]]&gt;=5,tblMSCalculada[[#This Row],[Diferencia relativa de materia seca (proporción)]]&gt;=0.20)</f>
        <v/>
      </c>
      <c r="Q147" s="14" t="n">
        <v>14910</v>
      </c>
      <c r="R147" s="14">
        <f>tblMSCalculada[[#This Row],[Peso verde en un metro (g)]]*(tblMSCalculada[[#This Row],[Materia seca registrada (%)]]/100)*10/INDEX(tblMetadatos[Valor],MATCH("biomass_sample_area_m2",tblMetadatos[Parámetro],0))</f>
        <v/>
      </c>
      <c r="S147" s="14">
        <f>tblMSCalculada[[#This Row],[Peso verde en un metro (g)]]*(tblMSCalculada[[#This Row],[Materia seca reconstruida (%)]]/100)*10/INDEX(tblMetadatos[Valor],MATCH("biomass_sample_area_m2",tblMetadatos[Parámetro],0))</f>
        <v/>
      </c>
      <c r="T147" s="14">
        <f>tblMSCalculada[[#This Row],[Biomasa recalculada con materia seca registrada (kg MS/ha)]]-tblMSCalculada[[#This Row],[Biomasa informada en el libro histórico (kg MS/ha)]]</f>
        <v/>
      </c>
      <c r="U147" s="14">
        <f>tblMSCalculada[[#This Row],[Macollos en 30 cm (macollos/30 cm)]]*(100/30)*(100/INDEX(tblMetadatos[Valor],MATCH("row_spacing_cm",tblMetadatos[Parámetro],0)))</f>
        <v/>
      </c>
    </row>
    <row r="148">
      <c r="A148" s="6" t="inlineStr">
        <is>
          <t>dm_20251112_riego_m4_r3</t>
        </is>
      </c>
      <c r="B148" s="13">
        <f>INDEX(tblMSRegistrada[Fecha],MATCH(tblMSCalculada[[#This Row],[Identificador de observación]],tblMSRegistrada[Identificador de observación],0))</f>
        <v/>
      </c>
      <c r="C148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48" s="6">
        <f>INDEX(tblMSRegistrada[Sector hídrico],MATCH(tblMSCalculada[[#This Row],[Identificador de observación]],tblMSRegistrada[Identificador de observación],0))</f>
        <v/>
      </c>
      <c r="E148" s="6">
        <f>INDEX(tblMSRegistrada[Tratamiento],MATCH(tblMSCalculada[[#This Row],[Identificador de observación]],tblMSRegistrada[Identificador de observación],0))</f>
        <v/>
      </c>
      <c r="F148" s="6">
        <f>INDEX(tblMSRegistrada[Bloque],MATCH(tblMSCalculada[[#This Row],[Identificador de observación]],tblMSRegistrada[Identificador de observación],0))</f>
        <v/>
      </c>
      <c r="G148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48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48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48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48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48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48" s="14">
        <f>100*tblMSCalculada[[#This Row],[Peso seco (g)]]/tblMSCalculada[[#This Row],[Peso verde de la muestra (g)]]</f>
        <v/>
      </c>
      <c r="N148" s="14">
        <f>ABS(tblMSCalculada[[#This Row],[Materia seca registrada (%)]]-tblMSCalculada[[#This Row],[Materia seca reconstruida (%)]])</f>
        <v/>
      </c>
      <c r="O148" s="14">
        <f>tblMSCalculada[[#This Row],[Diferencia absoluta de materia seca (puntos porcentuales)]]/ABS(tblMSCalculada[[#This Row],[Materia seca registrada (%)]])</f>
        <v/>
      </c>
      <c r="P148" s="6">
        <f>AND(tblMSCalculada[[#This Row],[Diferencia absoluta de materia seca (puntos porcentuales)]]&gt;=5,tblMSCalculada[[#This Row],[Diferencia relativa de materia seca (proporción)]]&gt;=0.20)</f>
        <v/>
      </c>
      <c r="Q148" s="14" t="n">
        <v>11606.73684210526</v>
      </c>
      <c r="R148" s="14">
        <f>tblMSCalculada[[#This Row],[Peso verde en un metro (g)]]*(tblMSCalculada[[#This Row],[Materia seca registrada (%)]]/100)*10/INDEX(tblMetadatos[Valor],MATCH("biomass_sample_area_m2",tblMetadatos[Parámetro],0))</f>
        <v/>
      </c>
      <c r="S148" s="14">
        <f>tblMSCalculada[[#This Row],[Peso verde en un metro (g)]]*(tblMSCalculada[[#This Row],[Materia seca reconstruida (%)]]/100)*10/INDEX(tblMetadatos[Valor],MATCH("biomass_sample_area_m2",tblMetadatos[Parámetro],0))</f>
        <v/>
      </c>
      <c r="T148" s="14">
        <f>tblMSCalculada[[#This Row],[Biomasa recalculada con materia seca registrada (kg MS/ha)]]-tblMSCalculada[[#This Row],[Biomasa informada en el libro histórico (kg MS/ha)]]</f>
        <v/>
      </c>
      <c r="U148" s="14">
        <f>tblMSCalculada[[#This Row],[Macollos en 30 cm (macollos/30 cm)]]*(100/30)*(100/INDEX(tblMetadatos[Valor],MATCH("row_spacing_cm",tblMetadatos[Parámetro],0)))</f>
        <v/>
      </c>
    </row>
    <row r="149">
      <c r="A149" s="6" t="inlineStr">
        <is>
          <t>dm_20251112_riego_m0_r3</t>
        </is>
      </c>
      <c r="B149" s="13">
        <f>INDEX(tblMSRegistrada[Fecha],MATCH(tblMSCalculada[[#This Row],[Identificador de observación]],tblMSRegistrada[Identificador de observación],0))</f>
        <v/>
      </c>
      <c r="C149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49" s="6">
        <f>INDEX(tblMSRegistrada[Sector hídrico],MATCH(tblMSCalculada[[#This Row],[Identificador de observación]],tblMSRegistrada[Identificador de observación],0))</f>
        <v/>
      </c>
      <c r="E149" s="6">
        <f>INDEX(tblMSRegistrada[Tratamiento],MATCH(tblMSCalculada[[#This Row],[Identificador de observación]],tblMSRegistrada[Identificador de observación],0))</f>
        <v/>
      </c>
      <c r="F149" s="6">
        <f>INDEX(tblMSRegistrada[Bloque],MATCH(tblMSCalculada[[#This Row],[Identificador de observación]],tblMSRegistrada[Identificador de observación],0))</f>
        <v/>
      </c>
      <c r="G149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49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49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49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49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49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49" s="14">
        <f>100*tblMSCalculada[[#This Row],[Peso seco (g)]]/tblMSCalculada[[#This Row],[Peso verde de la muestra (g)]]</f>
        <v/>
      </c>
      <c r="N149" s="14">
        <f>ABS(tblMSCalculada[[#This Row],[Materia seca registrada (%)]]-tblMSCalculada[[#This Row],[Materia seca reconstruida (%)]])</f>
        <v/>
      </c>
      <c r="O149" s="14">
        <f>tblMSCalculada[[#This Row],[Diferencia absoluta de materia seca (puntos porcentuales)]]/ABS(tblMSCalculada[[#This Row],[Materia seca registrada (%)]])</f>
        <v/>
      </c>
      <c r="P149" s="6">
        <f>AND(tblMSCalculada[[#This Row],[Diferencia absoluta de materia seca (puntos porcentuales)]]&gt;=5,tblMSCalculada[[#This Row],[Diferencia relativa de materia seca (proporción)]]&gt;=0.20)</f>
        <v/>
      </c>
      <c r="Q149" s="14" t="n">
        <v>11431.57894736842</v>
      </c>
      <c r="R149" s="14">
        <f>tblMSCalculada[[#This Row],[Peso verde en un metro (g)]]*(tblMSCalculada[[#This Row],[Materia seca registrada (%)]]/100)*10/INDEX(tblMetadatos[Valor],MATCH("biomass_sample_area_m2",tblMetadatos[Parámetro],0))</f>
        <v/>
      </c>
      <c r="S149" s="14">
        <f>tblMSCalculada[[#This Row],[Peso verde en un metro (g)]]*(tblMSCalculada[[#This Row],[Materia seca reconstruida (%)]]/100)*10/INDEX(tblMetadatos[Valor],MATCH("biomass_sample_area_m2",tblMetadatos[Parámetro],0))</f>
        <v/>
      </c>
      <c r="T149" s="14">
        <f>tblMSCalculada[[#This Row],[Biomasa recalculada con materia seca registrada (kg MS/ha)]]-tblMSCalculada[[#This Row],[Biomasa informada en el libro histórico (kg MS/ha)]]</f>
        <v/>
      </c>
      <c r="U149" s="14">
        <f>tblMSCalculada[[#This Row],[Macollos en 30 cm (macollos/30 cm)]]*(100/30)*(100/INDEX(tblMetadatos[Valor],MATCH("row_spacing_cm",tblMetadatos[Parámetro],0)))</f>
        <v/>
      </c>
    </row>
    <row r="150">
      <c r="A150" s="6" t="inlineStr">
        <is>
          <t>dm_20251112_riego_m1_r3</t>
        </is>
      </c>
      <c r="B150" s="13">
        <f>INDEX(tblMSRegistrada[Fecha],MATCH(tblMSCalculada[[#This Row],[Identificador de observación]],tblMSRegistrada[Identificador de observación],0))</f>
        <v/>
      </c>
      <c r="C150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50" s="6">
        <f>INDEX(tblMSRegistrada[Sector hídrico],MATCH(tblMSCalculada[[#This Row],[Identificador de observación]],tblMSRegistrada[Identificador de observación],0))</f>
        <v/>
      </c>
      <c r="E150" s="6">
        <f>INDEX(tblMSRegistrada[Tratamiento],MATCH(tblMSCalculada[[#This Row],[Identificador de observación]],tblMSRegistrada[Identificador de observación],0))</f>
        <v/>
      </c>
      <c r="F150" s="6">
        <f>INDEX(tblMSRegistrada[Bloque],MATCH(tblMSCalculada[[#This Row],[Identificador de observación]],tblMSRegistrada[Identificador de observación],0))</f>
        <v/>
      </c>
      <c r="G150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50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50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50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50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50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50" s="14">
        <f>100*tblMSCalculada[[#This Row],[Peso seco (g)]]/tblMSCalculada[[#This Row],[Peso verde de la muestra (g)]]</f>
        <v/>
      </c>
      <c r="N150" s="14">
        <f>ABS(tblMSCalculada[[#This Row],[Materia seca registrada (%)]]-tblMSCalculada[[#This Row],[Materia seca reconstruida (%)]])</f>
        <v/>
      </c>
      <c r="O150" s="14">
        <f>tblMSCalculada[[#This Row],[Diferencia absoluta de materia seca (puntos porcentuales)]]/ABS(tblMSCalculada[[#This Row],[Materia seca registrada (%)]])</f>
        <v/>
      </c>
      <c r="P150" s="6">
        <f>AND(tblMSCalculada[[#This Row],[Diferencia absoluta de materia seca (puntos porcentuales)]]&gt;=5,tblMSCalculada[[#This Row],[Diferencia relativa de materia seca (proporción)]]&gt;=0.20)</f>
        <v/>
      </c>
      <c r="Q150" s="14" t="n">
        <v>15150.21052631579</v>
      </c>
      <c r="R150" s="14">
        <f>tblMSCalculada[[#This Row],[Peso verde en un metro (g)]]*(tblMSCalculada[[#This Row],[Materia seca registrada (%)]]/100)*10/INDEX(tblMetadatos[Valor],MATCH("biomass_sample_area_m2",tblMetadatos[Parámetro],0))</f>
        <v/>
      </c>
      <c r="S150" s="14">
        <f>tblMSCalculada[[#This Row],[Peso verde en un metro (g)]]*(tblMSCalculada[[#This Row],[Materia seca reconstruida (%)]]/100)*10/INDEX(tblMetadatos[Valor],MATCH("biomass_sample_area_m2",tblMetadatos[Parámetro],0))</f>
        <v/>
      </c>
      <c r="T150" s="14">
        <f>tblMSCalculada[[#This Row],[Biomasa recalculada con materia seca registrada (kg MS/ha)]]-tblMSCalculada[[#This Row],[Biomasa informada en el libro histórico (kg MS/ha)]]</f>
        <v/>
      </c>
      <c r="U150" s="14">
        <f>tblMSCalculada[[#This Row],[Macollos en 30 cm (macollos/30 cm)]]*(100/30)*(100/INDEX(tblMetadatos[Valor],MATCH("row_spacing_cm",tblMetadatos[Parámetro],0)))</f>
        <v/>
      </c>
    </row>
    <row r="151">
      <c r="A151" s="6" t="inlineStr">
        <is>
          <t>dm_20251112_riego_m5_r3</t>
        </is>
      </c>
      <c r="B151" s="13">
        <f>INDEX(tblMSRegistrada[Fecha],MATCH(tblMSCalculada[[#This Row],[Identificador de observación]],tblMSRegistrada[Identificador de observación],0))</f>
        <v/>
      </c>
      <c r="C151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51" s="6">
        <f>INDEX(tblMSRegistrada[Sector hídrico],MATCH(tblMSCalculada[[#This Row],[Identificador de observación]],tblMSRegistrada[Identificador de observación],0))</f>
        <v/>
      </c>
      <c r="E151" s="6">
        <f>INDEX(tblMSRegistrada[Tratamiento],MATCH(tblMSCalculada[[#This Row],[Identificador de observación]],tblMSRegistrada[Identificador de observación],0))</f>
        <v/>
      </c>
      <c r="F151" s="6">
        <f>INDEX(tblMSRegistrada[Bloque],MATCH(tblMSCalculada[[#This Row],[Identificador de observación]],tblMSRegistrada[Identificador de observación],0))</f>
        <v/>
      </c>
      <c r="G151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51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51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51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51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51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51" s="14">
        <f>100*tblMSCalculada[[#This Row],[Peso seco (g)]]/tblMSCalculada[[#This Row],[Peso verde de la muestra (g)]]</f>
        <v/>
      </c>
      <c r="N151" s="14">
        <f>ABS(tblMSCalculada[[#This Row],[Materia seca registrada (%)]]-tblMSCalculada[[#This Row],[Materia seca reconstruida (%)]])</f>
        <v/>
      </c>
      <c r="O151" s="14">
        <f>tblMSCalculada[[#This Row],[Diferencia absoluta de materia seca (puntos porcentuales)]]/ABS(tblMSCalculada[[#This Row],[Materia seca registrada (%)]])</f>
        <v/>
      </c>
      <c r="P151" s="6">
        <f>AND(tblMSCalculada[[#This Row],[Diferencia absoluta de materia seca (puntos porcentuales)]]&gt;=5,tblMSCalculada[[#This Row],[Diferencia relativa de materia seca (proporción)]]&gt;=0.20)</f>
        <v/>
      </c>
      <c r="Q151" s="14" t="n">
        <v>11534.8947368421</v>
      </c>
      <c r="R151" s="14">
        <f>tblMSCalculada[[#This Row],[Peso verde en un metro (g)]]*(tblMSCalculada[[#This Row],[Materia seca registrada (%)]]/100)*10/INDEX(tblMetadatos[Valor],MATCH("biomass_sample_area_m2",tblMetadatos[Parámetro],0))</f>
        <v/>
      </c>
      <c r="S151" s="14">
        <f>tblMSCalculada[[#This Row],[Peso verde en un metro (g)]]*(tblMSCalculada[[#This Row],[Materia seca reconstruida (%)]]/100)*10/INDEX(tblMetadatos[Valor],MATCH("biomass_sample_area_m2",tblMetadatos[Parámetro],0))</f>
        <v/>
      </c>
      <c r="T151" s="14">
        <f>tblMSCalculada[[#This Row],[Biomasa recalculada con materia seca registrada (kg MS/ha)]]-tblMSCalculada[[#This Row],[Biomasa informada en el libro histórico (kg MS/ha)]]</f>
        <v/>
      </c>
      <c r="U151" s="14">
        <f>tblMSCalculada[[#This Row],[Macollos en 30 cm (macollos/30 cm)]]*(100/30)*(100/INDEX(tblMetadatos[Valor],MATCH("row_spacing_cm",tblMetadatos[Parámetro],0)))</f>
        <v/>
      </c>
    </row>
    <row r="152">
      <c r="A152" s="6" t="inlineStr">
        <is>
          <t>dm_20251112_riego_m2_r3</t>
        </is>
      </c>
      <c r="B152" s="13">
        <f>INDEX(tblMSRegistrada[Fecha],MATCH(tblMSCalculada[[#This Row],[Identificador de observación]],tblMSRegistrada[Identificador de observación],0))</f>
        <v/>
      </c>
      <c r="C152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52" s="6">
        <f>INDEX(tblMSRegistrada[Sector hídrico],MATCH(tblMSCalculada[[#This Row],[Identificador de observación]],tblMSRegistrada[Identificador de observación],0))</f>
        <v/>
      </c>
      <c r="E152" s="6">
        <f>INDEX(tblMSRegistrada[Tratamiento],MATCH(tblMSCalculada[[#This Row],[Identificador de observación]],tblMSRegistrada[Identificador de observación],0))</f>
        <v/>
      </c>
      <c r="F152" s="6">
        <f>INDEX(tblMSRegistrada[Bloque],MATCH(tblMSCalculada[[#This Row],[Identificador de observación]],tblMSRegistrada[Identificador de observación],0))</f>
        <v/>
      </c>
      <c r="G152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52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52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52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52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52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52" s="14">
        <f>100*tblMSCalculada[[#This Row],[Peso seco (g)]]/tblMSCalculada[[#This Row],[Peso verde de la muestra (g)]]</f>
        <v/>
      </c>
      <c r="N152" s="14">
        <f>ABS(tblMSCalculada[[#This Row],[Materia seca registrada (%)]]-tblMSCalculada[[#This Row],[Materia seca reconstruida (%)]])</f>
        <v/>
      </c>
      <c r="O152" s="14">
        <f>tblMSCalculada[[#This Row],[Diferencia absoluta de materia seca (puntos porcentuales)]]/ABS(tblMSCalculada[[#This Row],[Materia seca registrada (%)]])</f>
        <v/>
      </c>
      <c r="P152" s="6">
        <f>AND(tblMSCalculada[[#This Row],[Diferencia absoluta de materia seca (puntos porcentuales)]]&gt;=5,tblMSCalculada[[#This Row],[Diferencia relativa de materia seca (proporción)]]&gt;=0.20)</f>
        <v/>
      </c>
      <c r="Q152" s="14" t="n">
        <v>13918.23684210526</v>
      </c>
      <c r="R152" s="14">
        <f>tblMSCalculada[[#This Row],[Peso verde en un metro (g)]]*(tblMSCalculada[[#This Row],[Materia seca registrada (%)]]/100)*10/INDEX(tblMetadatos[Valor],MATCH("biomass_sample_area_m2",tblMetadatos[Parámetro],0))</f>
        <v/>
      </c>
      <c r="S152" s="14">
        <f>tblMSCalculada[[#This Row],[Peso verde en un metro (g)]]*(tblMSCalculada[[#This Row],[Materia seca reconstruida (%)]]/100)*10/INDEX(tblMetadatos[Valor],MATCH("biomass_sample_area_m2",tblMetadatos[Parámetro],0))</f>
        <v/>
      </c>
      <c r="T152" s="14">
        <f>tblMSCalculada[[#This Row],[Biomasa recalculada con materia seca registrada (kg MS/ha)]]-tblMSCalculada[[#This Row],[Biomasa informada en el libro histórico (kg MS/ha)]]</f>
        <v/>
      </c>
      <c r="U152" s="14">
        <f>tblMSCalculada[[#This Row],[Macollos en 30 cm (macollos/30 cm)]]*(100/30)*(100/INDEX(tblMetadatos[Valor],MATCH("row_spacing_cm",tblMetadatos[Parámetro],0)))</f>
        <v/>
      </c>
    </row>
    <row r="153">
      <c r="A153" s="6" t="inlineStr">
        <is>
          <t>dm_20251112_riego_m1_r4</t>
        </is>
      </c>
      <c r="B153" s="13">
        <f>INDEX(tblMSRegistrada[Fecha],MATCH(tblMSCalculada[[#This Row],[Identificador de observación]],tblMSRegistrada[Identificador de observación],0))</f>
        <v/>
      </c>
      <c r="C153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53" s="6">
        <f>INDEX(tblMSRegistrada[Sector hídrico],MATCH(tblMSCalculada[[#This Row],[Identificador de observación]],tblMSRegistrada[Identificador de observación],0))</f>
        <v/>
      </c>
      <c r="E153" s="6">
        <f>INDEX(tblMSRegistrada[Tratamiento],MATCH(tblMSCalculada[[#This Row],[Identificador de observación]],tblMSRegistrada[Identificador de observación],0))</f>
        <v/>
      </c>
      <c r="F153" s="6">
        <f>INDEX(tblMSRegistrada[Bloque],MATCH(tblMSCalculada[[#This Row],[Identificador de observación]],tblMSRegistrada[Identificador de observación],0))</f>
        <v/>
      </c>
      <c r="G153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53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53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53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53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53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53" s="14">
        <f>100*tblMSCalculada[[#This Row],[Peso seco (g)]]/tblMSCalculada[[#This Row],[Peso verde de la muestra (g)]]</f>
        <v/>
      </c>
      <c r="N153" s="14">
        <f>ABS(tblMSCalculada[[#This Row],[Materia seca registrada (%)]]-tblMSCalculada[[#This Row],[Materia seca reconstruida (%)]])</f>
        <v/>
      </c>
      <c r="O153" s="14">
        <f>tblMSCalculada[[#This Row],[Diferencia absoluta de materia seca (puntos porcentuales)]]/ABS(tblMSCalculada[[#This Row],[Materia seca registrada (%)]])</f>
        <v/>
      </c>
      <c r="P153" s="6">
        <f>AND(tblMSCalculada[[#This Row],[Diferencia absoluta de materia seca (puntos porcentuales)]]&gt;=5,tblMSCalculada[[#This Row],[Diferencia relativa de materia seca (proporción)]]&gt;=0.20)</f>
        <v/>
      </c>
      <c r="Q153" s="14" t="n">
        <v>18313.92105263158</v>
      </c>
      <c r="R153" s="14">
        <f>tblMSCalculada[[#This Row],[Peso verde en un metro (g)]]*(tblMSCalculada[[#This Row],[Materia seca registrada (%)]]/100)*10/INDEX(tblMetadatos[Valor],MATCH("biomass_sample_area_m2",tblMetadatos[Parámetro],0))</f>
        <v/>
      </c>
      <c r="S153" s="14">
        <f>tblMSCalculada[[#This Row],[Peso verde en un metro (g)]]*(tblMSCalculada[[#This Row],[Materia seca reconstruida (%)]]/100)*10/INDEX(tblMetadatos[Valor],MATCH("biomass_sample_area_m2",tblMetadatos[Parámetro],0))</f>
        <v/>
      </c>
      <c r="T153" s="14">
        <f>tblMSCalculada[[#This Row],[Biomasa recalculada con materia seca registrada (kg MS/ha)]]-tblMSCalculada[[#This Row],[Biomasa informada en el libro histórico (kg MS/ha)]]</f>
        <v/>
      </c>
      <c r="U153" s="14">
        <f>tblMSCalculada[[#This Row],[Macollos en 30 cm (macollos/30 cm)]]*(100/30)*(100/INDEX(tblMetadatos[Valor],MATCH("row_spacing_cm",tblMetadatos[Parámetro],0)))</f>
        <v/>
      </c>
    </row>
    <row r="154">
      <c r="A154" s="6" t="inlineStr">
        <is>
          <t>dm_20251112_riego_m0_r4</t>
        </is>
      </c>
      <c r="B154" s="13">
        <f>INDEX(tblMSRegistrada[Fecha],MATCH(tblMSCalculada[[#This Row],[Identificador de observación]],tblMSRegistrada[Identificador de observación],0))</f>
        <v/>
      </c>
      <c r="C154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54" s="6">
        <f>INDEX(tblMSRegistrada[Sector hídrico],MATCH(tblMSCalculada[[#This Row],[Identificador de observación]],tblMSRegistrada[Identificador de observación],0))</f>
        <v/>
      </c>
      <c r="E154" s="6">
        <f>INDEX(tblMSRegistrada[Tratamiento],MATCH(tblMSCalculada[[#This Row],[Identificador de observación]],tblMSRegistrada[Identificador de observación],0))</f>
        <v/>
      </c>
      <c r="F154" s="6">
        <f>INDEX(tblMSRegistrada[Bloque],MATCH(tblMSCalculada[[#This Row],[Identificador de observación]],tblMSRegistrada[Identificador de observación],0))</f>
        <v/>
      </c>
      <c r="G154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54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54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54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54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54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54" s="14">
        <f>100*tblMSCalculada[[#This Row],[Peso seco (g)]]/tblMSCalculada[[#This Row],[Peso verde de la muestra (g)]]</f>
        <v/>
      </c>
      <c r="N154" s="14">
        <f>ABS(tblMSCalculada[[#This Row],[Materia seca registrada (%)]]-tblMSCalculada[[#This Row],[Materia seca reconstruida (%)]])</f>
        <v/>
      </c>
      <c r="O154" s="14">
        <f>tblMSCalculada[[#This Row],[Diferencia absoluta de materia seca (puntos porcentuales)]]/ABS(tblMSCalculada[[#This Row],[Materia seca registrada (%)]])</f>
        <v/>
      </c>
      <c r="P154" s="6">
        <f>AND(tblMSCalculada[[#This Row],[Diferencia absoluta de materia seca (puntos porcentuales)]]&gt;=5,tblMSCalculada[[#This Row],[Diferencia relativa de materia seca (proporción)]]&gt;=0.20)</f>
        <v/>
      </c>
      <c r="Q154" s="14" t="n">
        <v>7683.131578947369</v>
      </c>
      <c r="R154" s="14">
        <f>tblMSCalculada[[#This Row],[Peso verde en un metro (g)]]*(tblMSCalculada[[#This Row],[Materia seca registrada (%)]]/100)*10/INDEX(tblMetadatos[Valor],MATCH("biomass_sample_area_m2",tblMetadatos[Parámetro],0))</f>
        <v/>
      </c>
      <c r="S154" s="14">
        <f>tblMSCalculada[[#This Row],[Peso verde en un metro (g)]]*(tblMSCalculada[[#This Row],[Materia seca reconstruida (%)]]/100)*10/INDEX(tblMetadatos[Valor],MATCH("biomass_sample_area_m2",tblMetadatos[Parámetro],0))</f>
        <v/>
      </c>
      <c r="T154" s="14">
        <f>tblMSCalculada[[#This Row],[Biomasa recalculada con materia seca registrada (kg MS/ha)]]-tblMSCalculada[[#This Row],[Biomasa informada en el libro histórico (kg MS/ha)]]</f>
        <v/>
      </c>
      <c r="U154" s="14">
        <f>tblMSCalculada[[#This Row],[Macollos en 30 cm (macollos/30 cm)]]*(100/30)*(100/INDEX(tblMetadatos[Valor],MATCH("row_spacing_cm",tblMetadatos[Parámetro],0)))</f>
        <v/>
      </c>
    </row>
    <row r="155">
      <c r="A155" s="6" t="inlineStr">
        <is>
          <t>dm_20251112_riego_m5_r4</t>
        </is>
      </c>
      <c r="B155" s="13">
        <f>INDEX(tblMSRegistrada[Fecha],MATCH(tblMSCalculada[[#This Row],[Identificador de observación]],tblMSRegistrada[Identificador de observación],0))</f>
        <v/>
      </c>
      <c r="C155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55" s="6">
        <f>INDEX(tblMSRegistrada[Sector hídrico],MATCH(tblMSCalculada[[#This Row],[Identificador de observación]],tblMSRegistrada[Identificador de observación],0))</f>
        <v/>
      </c>
      <c r="E155" s="6">
        <f>INDEX(tblMSRegistrada[Tratamiento],MATCH(tblMSCalculada[[#This Row],[Identificador de observación]],tblMSRegistrada[Identificador de observación],0))</f>
        <v/>
      </c>
      <c r="F155" s="6">
        <f>INDEX(tblMSRegistrada[Bloque],MATCH(tblMSCalculada[[#This Row],[Identificador de observación]],tblMSRegistrada[Identificador de observación],0))</f>
        <v/>
      </c>
      <c r="G155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55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55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55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55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55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55" s="14">
        <f>100*tblMSCalculada[[#This Row],[Peso seco (g)]]/tblMSCalculada[[#This Row],[Peso verde de la muestra (g)]]</f>
        <v/>
      </c>
      <c r="N155" s="14">
        <f>ABS(tblMSCalculada[[#This Row],[Materia seca registrada (%)]]-tblMSCalculada[[#This Row],[Materia seca reconstruida (%)]])</f>
        <v/>
      </c>
      <c r="O155" s="14">
        <f>tblMSCalculada[[#This Row],[Diferencia absoluta de materia seca (puntos porcentuales)]]/ABS(tblMSCalculada[[#This Row],[Materia seca registrada (%)]])</f>
        <v/>
      </c>
      <c r="P155" s="6">
        <f>AND(tblMSCalculada[[#This Row],[Diferencia absoluta de materia seca (puntos porcentuales)]]&gt;=5,tblMSCalculada[[#This Row],[Diferencia relativa de materia seca (proporción)]]&gt;=0.20)</f>
        <v/>
      </c>
      <c r="Q155" s="14" t="n">
        <v>13669.36842105263</v>
      </c>
      <c r="R155" s="14">
        <f>tblMSCalculada[[#This Row],[Peso verde en un metro (g)]]*(tblMSCalculada[[#This Row],[Materia seca registrada (%)]]/100)*10/INDEX(tblMetadatos[Valor],MATCH("biomass_sample_area_m2",tblMetadatos[Parámetro],0))</f>
        <v/>
      </c>
      <c r="S155" s="14">
        <f>tblMSCalculada[[#This Row],[Peso verde en un metro (g)]]*(tblMSCalculada[[#This Row],[Materia seca reconstruida (%)]]/100)*10/INDEX(tblMetadatos[Valor],MATCH("biomass_sample_area_m2",tblMetadatos[Parámetro],0))</f>
        <v/>
      </c>
      <c r="T155" s="14">
        <f>tblMSCalculada[[#This Row],[Biomasa recalculada con materia seca registrada (kg MS/ha)]]-tblMSCalculada[[#This Row],[Biomasa informada en el libro histórico (kg MS/ha)]]</f>
        <v/>
      </c>
      <c r="U155" s="14">
        <f>tblMSCalculada[[#This Row],[Macollos en 30 cm (macollos/30 cm)]]*(100/30)*(100/INDEX(tblMetadatos[Valor],MATCH("row_spacing_cm",tblMetadatos[Parámetro],0)))</f>
        <v/>
      </c>
    </row>
    <row r="156">
      <c r="A156" s="6" t="inlineStr">
        <is>
          <t>dm_20251112_riego_m4_r4</t>
        </is>
      </c>
      <c r="B156" s="13">
        <f>INDEX(tblMSRegistrada[Fecha],MATCH(tblMSCalculada[[#This Row],[Identificador de observación]],tblMSRegistrada[Identificador de observación],0))</f>
        <v/>
      </c>
      <c r="C156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56" s="6">
        <f>INDEX(tblMSRegistrada[Sector hídrico],MATCH(tblMSCalculada[[#This Row],[Identificador de observación]],tblMSRegistrada[Identificador de observación],0))</f>
        <v/>
      </c>
      <c r="E156" s="6">
        <f>INDEX(tblMSRegistrada[Tratamiento],MATCH(tblMSCalculada[[#This Row],[Identificador de observación]],tblMSRegistrada[Identificador de observación],0))</f>
        <v/>
      </c>
      <c r="F156" s="6">
        <f>INDEX(tblMSRegistrada[Bloque],MATCH(tblMSCalculada[[#This Row],[Identificador de observación]],tblMSRegistrada[Identificador de observación],0))</f>
        <v/>
      </c>
      <c r="G156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56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56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56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56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56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56" s="14">
        <f>100*tblMSCalculada[[#This Row],[Peso seco (g)]]/tblMSCalculada[[#This Row],[Peso verde de la muestra (g)]]</f>
        <v/>
      </c>
      <c r="N156" s="14">
        <f>ABS(tblMSCalculada[[#This Row],[Materia seca registrada (%)]]-tblMSCalculada[[#This Row],[Materia seca reconstruida (%)]])</f>
        <v/>
      </c>
      <c r="O156" s="14">
        <f>tblMSCalculada[[#This Row],[Diferencia absoluta de materia seca (puntos porcentuales)]]/ABS(tblMSCalculada[[#This Row],[Materia seca registrada (%)]])</f>
        <v/>
      </c>
      <c r="P156" s="6">
        <f>AND(tblMSCalculada[[#This Row],[Diferencia absoluta de materia seca (puntos porcentuales)]]&gt;=5,tblMSCalculada[[#This Row],[Diferencia relativa de materia seca (proporción)]]&gt;=0.20)</f>
        <v/>
      </c>
      <c r="Q156" s="14" t="n">
        <v>12692.10526315789</v>
      </c>
      <c r="R156" s="14">
        <f>tblMSCalculada[[#This Row],[Peso verde en un metro (g)]]*(tblMSCalculada[[#This Row],[Materia seca registrada (%)]]/100)*10/INDEX(tblMetadatos[Valor],MATCH("biomass_sample_area_m2",tblMetadatos[Parámetro],0))</f>
        <v/>
      </c>
      <c r="S156" s="14">
        <f>tblMSCalculada[[#This Row],[Peso verde en un metro (g)]]*(tblMSCalculada[[#This Row],[Materia seca reconstruida (%)]]/100)*10/INDEX(tblMetadatos[Valor],MATCH("biomass_sample_area_m2",tblMetadatos[Parámetro],0))</f>
        <v/>
      </c>
      <c r="T156" s="14">
        <f>tblMSCalculada[[#This Row],[Biomasa recalculada con materia seca registrada (kg MS/ha)]]-tblMSCalculada[[#This Row],[Biomasa informada en el libro histórico (kg MS/ha)]]</f>
        <v/>
      </c>
      <c r="U156" s="14">
        <f>tblMSCalculada[[#This Row],[Macollos en 30 cm (macollos/30 cm)]]*(100/30)*(100/INDEX(tblMetadatos[Valor],MATCH("row_spacing_cm",tblMetadatos[Parámetro],0)))</f>
        <v/>
      </c>
    </row>
    <row r="157">
      <c r="A157" s="6" t="inlineStr">
        <is>
          <t>dm_20251112_riego_m3_r4</t>
        </is>
      </c>
      <c r="B157" s="13">
        <f>INDEX(tblMSRegistrada[Fecha],MATCH(tblMSCalculada[[#This Row],[Identificador de observación]],tblMSRegistrada[Identificador de observación],0))</f>
        <v/>
      </c>
      <c r="C157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57" s="6">
        <f>INDEX(tblMSRegistrada[Sector hídrico],MATCH(tblMSCalculada[[#This Row],[Identificador de observación]],tblMSRegistrada[Identificador de observación],0))</f>
        <v/>
      </c>
      <c r="E157" s="6">
        <f>INDEX(tblMSRegistrada[Tratamiento],MATCH(tblMSCalculada[[#This Row],[Identificador de observación]],tblMSRegistrada[Identificador de observación],0))</f>
        <v/>
      </c>
      <c r="F157" s="6">
        <f>INDEX(tblMSRegistrada[Bloque],MATCH(tblMSCalculada[[#This Row],[Identificador de observación]],tblMSRegistrada[Identificador de observación],0))</f>
        <v/>
      </c>
      <c r="G157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57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57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57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57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57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57" s="14">
        <f>100*tblMSCalculada[[#This Row],[Peso seco (g)]]/tblMSCalculada[[#This Row],[Peso verde de la muestra (g)]]</f>
        <v/>
      </c>
      <c r="N157" s="14">
        <f>ABS(tblMSCalculada[[#This Row],[Materia seca registrada (%)]]-tblMSCalculada[[#This Row],[Materia seca reconstruida (%)]])</f>
        <v/>
      </c>
      <c r="O157" s="14">
        <f>tblMSCalculada[[#This Row],[Diferencia absoluta de materia seca (puntos porcentuales)]]/ABS(tblMSCalculada[[#This Row],[Materia seca registrada (%)]])</f>
        <v/>
      </c>
      <c r="P157" s="6">
        <f>AND(tblMSCalculada[[#This Row],[Diferencia absoluta de materia seca (puntos porcentuales)]]&gt;=5,tblMSCalculada[[#This Row],[Diferencia relativa de materia seca (proporción)]]&gt;=0.20)</f>
        <v/>
      </c>
      <c r="Q157" s="14" t="n">
        <v>13234</v>
      </c>
      <c r="R157" s="14">
        <f>tblMSCalculada[[#This Row],[Peso verde en un metro (g)]]*(tblMSCalculada[[#This Row],[Materia seca registrada (%)]]/100)*10/INDEX(tblMetadatos[Valor],MATCH("biomass_sample_area_m2",tblMetadatos[Parámetro],0))</f>
        <v/>
      </c>
      <c r="S157" s="14">
        <f>tblMSCalculada[[#This Row],[Peso verde en un metro (g)]]*(tblMSCalculada[[#This Row],[Materia seca reconstruida (%)]]/100)*10/INDEX(tblMetadatos[Valor],MATCH("biomass_sample_area_m2",tblMetadatos[Parámetro],0))</f>
        <v/>
      </c>
      <c r="T157" s="14">
        <f>tblMSCalculada[[#This Row],[Biomasa recalculada con materia seca registrada (kg MS/ha)]]-tblMSCalculada[[#This Row],[Biomasa informada en el libro histórico (kg MS/ha)]]</f>
        <v/>
      </c>
      <c r="U157" s="14">
        <f>tblMSCalculada[[#This Row],[Macollos en 30 cm (macollos/30 cm)]]*(100/30)*(100/INDEX(tblMetadatos[Valor],MATCH("row_spacing_cm",tblMetadatos[Parámetro],0)))</f>
        <v/>
      </c>
    </row>
    <row r="158">
      <c r="A158" s="6" t="inlineStr">
        <is>
          <t>dm_20251112_riego_m2_r4</t>
        </is>
      </c>
      <c r="B158" s="13">
        <f>INDEX(tblMSRegistrada[Fecha],MATCH(tblMSCalculada[[#This Row],[Identificador de observación]],tblMSRegistrada[Identificador de observación],0))</f>
        <v/>
      </c>
      <c r="C158" s="12">
        <f>IF(COUNTIFS(tblMSRegistrada[Identificador de observación],tblMSCalculada[[#This Row],[Identificador de observación]],tblMSRegistrada[Muestra],"&lt;&gt;")=0,"",INDEX(tblMSRegistrada[Muestra],MATCH(tblMSCalculada[[#This Row],[Identificador de observación]],tblMSRegistrada[Identificador de observación],0)))</f>
        <v/>
      </c>
      <c r="D158" s="6">
        <f>INDEX(tblMSRegistrada[Sector hídrico],MATCH(tblMSCalculada[[#This Row],[Identificador de observación]],tblMSRegistrada[Identificador de observación],0))</f>
        <v/>
      </c>
      <c r="E158" s="6">
        <f>INDEX(tblMSRegistrada[Tratamiento],MATCH(tblMSCalculada[[#This Row],[Identificador de observación]],tblMSRegistrada[Identificador de observación],0))</f>
        <v/>
      </c>
      <c r="F158" s="6">
        <f>INDEX(tblMSRegistrada[Bloque],MATCH(tblMSCalculada[[#This Row],[Identificador de observación]],tblMSRegistrada[Identificador de observación],0))</f>
        <v/>
      </c>
      <c r="G158" s="14">
        <f>IF(COUNTIFS(tblMSRegistrada[Identificador de observación],tblMSCalculada[[#This Row],[Identificador de observación]],tblMSRegistrada[Macollos en 30 cm (macollos/30 cm)],"&lt;&gt;")=0,"",INDEX(tblMSRegistrada[Macollos en 30 cm (macollos/30 cm)],MATCH(tblMSCalculada[[#This Row],[Identificador de observación]],tblMSRegistrada[Identificador de observación],0)))</f>
        <v/>
      </c>
      <c r="H158" s="14">
        <f>IF(COUNTIFS(tblMSRegistrada[Identificador de observación],tblMSCalculada[[#This Row],[Identificador de observación]],tblMSRegistrada[Peso verde en un metro (g)],"&lt;&gt;")=0,"",INDEX(tblMSRegistrada[Peso verde en un metro (g)],MATCH(tblMSCalculada[[#This Row],[Identificador de observación]],tblMSRegistrada[Identificador de observación],0)))</f>
        <v/>
      </c>
      <c r="I158" s="14">
        <f>IF(COUNTIFS(tblMSRegistrada[Identificador de observación],tblMSCalculada[[#This Row],[Identificador de observación]],tblMSRegistrada[Peso verde de la muestra (g)],"&lt;&gt;")=0,"",INDEX(tblMSRegistrada[Peso verde de la muestra (g)],MATCH(tblMSCalculada[[#This Row],[Identificador de observación]],tblMSRegistrada[Identificador de observación],0)))</f>
        <v/>
      </c>
      <c r="J158" s="14">
        <f>IF(COUNTIFS(tblMSRegistrada[Identificador de observación],tblMSCalculada[[#This Row],[Identificador de observación]],tblMSRegistrada[Peso de bandeja (g)],"&lt;&gt;")=0,"",INDEX(tblMSRegistrada[Peso de bandeja (g)],MATCH(tblMSCalculada[[#This Row],[Identificador de observación]],tblMSRegistrada[Identificador de observación],0)))</f>
        <v/>
      </c>
      <c r="K158" s="14">
        <f>IF(COUNTIFS(tblMSRegistrada[Identificador de observación],tblMSCalculada[[#This Row],[Identificador de observación]],tblMSRegistrada[Peso seco (g)],"&lt;&gt;")=0,"",INDEX(tblMSRegistrada[Peso seco (g)],MATCH(tblMSCalculada[[#This Row],[Identificador de observación]],tblMSRegistrada[Identificador de observación],0)))</f>
        <v/>
      </c>
      <c r="L158" s="14">
        <f>IF(COUNTIFS(tblMSRegistrada[Identificador de observación],tblMSCalculada[[#This Row],[Identificador de observación]],tblMSRegistrada[Materia seca registrada (%)],"&lt;&gt;")=0,"",INDEX(tblMSRegistrada[Materia seca registrada (%)],MATCH(tblMSCalculada[[#This Row],[Identificador de observación]],tblMSRegistrada[Identificador de observación],0)))</f>
        <v/>
      </c>
      <c r="M158" s="14">
        <f>100*tblMSCalculada[[#This Row],[Peso seco (g)]]/tblMSCalculada[[#This Row],[Peso verde de la muestra (g)]]</f>
        <v/>
      </c>
      <c r="N158" s="14">
        <f>ABS(tblMSCalculada[[#This Row],[Materia seca registrada (%)]]-tblMSCalculada[[#This Row],[Materia seca reconstruida (%)]])</f>
        <v/>
      </c>
      <c r="O158" s="14">
        <f>tblMSCalculada[[#This Row],[Diferencia absoluta de materia seca (puntos porcentuales)]]/ABS(tblMSCalculada[[#This Row],[Materia seca registrada (%)]])</f>
        <v/>
      </c>
      <c r="P158" s="6">
        <f>AND(tblMSCalculada[[#This Row],[Diferencia absoluta de materia seca (puntos porcentuales)]]&gt;=5,tblMSCalculada[[#This Row],[Diferencia relativa de materia seca (proporción)]]&gt;=0.20)</f>
        <v/>
      </c>
      <c r="Q158" s="14" t="n">
        <v>14822.36842105263</v>
      </c>
      <c r="R158" s="14">
        <f>tblMSCalculada[[#This Row],[Peso verde en un metro (g)]]*(tblMSCalculada[[#This Row],[Materia seca registrada (%)]]/100)*10/INDEX(tblMetadatos[Valor],MATCH("biomass_sample_area_m2",tblMetadatos[Parámetro],0))</f>
        <v/>
      </c>
      <c r="S158" s="14">
        <f>tblMSCalculada[[#This Row],[Peso verde en un metro (g)]]*(tblMSCalculada[[#This Row],[Materia seca reconstruida (%)]]/100)*10/INDEX(tblMetadatos[Valor],MATCH("biomass_sample_area_m2",tblMetadatos[Parámetro],0))</f>
        <v/>
      </c>
      <c r="T158" s="14">
        <f>tblMSCalculada[[#This Row],[Biomasa recalculada con materia seca registrada (kg MS/ha)]]-tblMSCalculada[[#This Row],[Biomasa informada en el libro histórico (kg MS/ha)]]</f>
        <v/>
      </c>
      <c r="U158" s="14">
        <f>tblMSCalculada[[#This Row],[Macollos en 30 cm (macollos/30 cm)]]*(100/30)*(100/INDEX(tblMetadatos[Valor],MATCH("row_spacing_cm",tblMetadatos[Parámetro],0)))</f>
        <v/>
      </c>
    </row>
  </sheetData>
  <conditionalFormatting sqref="A5:U158">
    <cfRule type="expression" priority="1" dxfId="0">
      <formula>$P5=TRUE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1" customWidth="1" min="2" max="2"/>
    <col width="11" customWidth="1" min="3" max="3"/>
    <col width="16" customWidth="1" min="4" max="4"/>
    <col width="13" customWidth="1" min="5" max="5"/>
    <col width="11" customWidth="1" min="6" max="6"/>
    <col width="40" customWidth="1" min="7" max="7"/>
    <col width="33" customWidth="1" min="8" max="8"/>
    <col width="28" customWidth="1" min="9" max="9"/>
    <col width="38" customWidth="1" min="10" max="10"/>
    <col width="38" customWidth="1" min="11" max="11"/>
    <col width="38" customWidth="1" min="12" max="12"/>
  </cols>
  <sheetData>
    <row r="1" ht="25" customHeight="1">
      <c r="A1" s="7" t="inlineStr">
        <is>
          <t>Cosecha registrada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</row>
    <row r="2" ht="31" customHeight="1">
      <c r="A2" s="9" t="inlineStr">
        <is>
          <t>Una fila por parcela cosechada. Origen canónico: harvest_recorded.csv. Rol: registrado.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4" ht="38" customHeight="1">
      <c r="A4" s="11" t="inlineStr">
        <is>
          <t>Identificador de observación</t>
        </is>
      </c>
      <c r="B4" s="11" t="inlineStr">
        <is>
          <t>Fecha</t>
        </is>
      </c>
      <c r="C4" s="11" t="inlineStr">
        <is>
          <t>Muestra</t>
        </is>
      </c>
      <c r="D4" s="11" t="inlineStr">
        <is>
          <t>Sector hídrico</t>
        </is>
      </c>
      <c r="E4" s="11" t="inlineStr">
        <is>
          <t>Tratamiento</t>
        </is>
      </c>
      <c r="F4" s="11" t="inlineStr">
        <is>
          <t>Bloque</t>
        </is>
      </c>
      <c r="G4" s="11" t="inlineStr">
        <is>
          <t>Panojas en el área cosechada (panojas)</t>
        </is>
      </c>
      <c r="H4" s="11" t="inlineStr">
        <is>
          <t>Peso de semilla sin limpiar (g)</t>
        </is>
      </c>
      <c r="I4" s="11" t="inlineStr">
        <is>
          <t>Peso de semilla limpia (g)</t>
        </is>
      </c>
      <c r="J4" s="11" t="inlineStr">
        <is>
          <t>Peso de 100 semillas - réplica 1 (g)</t>
        </is>
      </c>
      <c r="K4" s="11" t="inlineStr">
        <is>
          <t>Peso de 100 semillas - réplica 2 (g)</t>
        </is>
      </c>
      <c r="L4" s="11" t="inlineStr">
        <is>
          <t>Peso de 100 semillas - réplica 3 (g)</t>
        </is>
      </c>
    </row>
    <row r="5">
      <c r="A5" s="6" t="inlineStr">
        <is>
          <t>harvest_20251112_secano_m0_r1</t>
        </is>
      </c>
      <c r="B5" s="13" t="n">
        <v>45973</v>
      </c>
      <c r="C5" s="12" t="n">
        <v>153</v>
      </c>
      <c r="D5" s="6" t="inlineStr">
        <is>
          <t>Secano</t>
        </is>
      </c>
      <c r="E5" s="6" t="inlineStr">
        <is>
          <t>M0</t>
        </is>
      </c>
      <c r="F5" s="6" t="inlineStr">
        <is>
          <t>R1</t>
        </is>
      </c>
      <c r="G5" s="14" t="n">
        <v>457</v>
      </c>
      <c r="H5" s="14" t="n">
        <v>44.2</v>
      </c>
      <c r="I5" s="14" t="n">
        <v>34.5</v>
      </c>
      <c r="J5" s="14" t="n">
        <v>0.2227</v>
      </c>
      <c r="K5" s="14" t="n">
        <v>0.2244</v>
      </c>
      <c r="L5" s="14" t="n">
        <v>0.2342</v>
      </c>
    </row>
    <row r="6">
      <c r="A6" s="6" t="inlineStr">
        <is>
          <t>harvest_20251112_secano_m1_r1</t>
        </is>
      </c>
      <c r="B6" s="13" t="n">
        <v>45973</v>
      </c>
      <c r="C6" s="12" t="n">
        <v>154</v>
      </c>
      <c r="D6" s="6" t="inlineStr">
        <is>
          <t>Secano</t>
        </is>
      </c>
      <c r="E6" s="6" t="inlineStr">
        <is>
          <t>M1</t>
        </is>
      </c>
      <c r="F6" s="6" t="inlineStr">
        <is>
          <t>R1</t>
        </is>
      </c>
      <c r="G6" s="14" t="n">
        <v>622</v>
      </c>
      <c r="H6" s="14" t="n">
        <v>131.4</v>
      </c>
      <c r="I6" s="14" t="n">
        <v>107.5</v>
      </c>
      <c r="J6" s="14" t="n">
        <v>0.2697</v>
      </c>
      <c r="K6" s="14" t="n">
        <v>0.234</v>
      </c>
      <c r="L6" s="14" t="n">
        <v>0.2548</v>
      </c>
    </row>
    <row r="7">
      <c r="A7" s="6" t="inlineStr">
        <is>
          <t>harvest_20251112_secano_m2_r1</t>
        </is>
      </c>
      <c r="B7" s="13" t="n">
        <v>45973</v>
      </c>
      <c r="C7" s="12" t="n">
        <v>155</v>
      </c>
      <c r="D7" s="6" t="inlineStr">
        <is>
          <t>Secano</t>
        </is>
      </c>
      <c r="E7" s="6" t="inlineStr">
        <is>
          <t>M2</t>
        </is>
      </c>
      <c r="F7" s="6" t="inlineStr">
        <is>
          <t>R1</t>
        </is>
      </c>
      <c r="G7" s="14" t="n">
        <v>678</v>
      </c>
      <c r="H7" s="14" t="n">
        <v>111.5</v>
      </c>
      <c r="I7" s="14" t="n">
        <v>91.40000000000001</v>
      </c>
      <c r="J7" s="14" t="n">
        <v>0.2468</v>
      </c>
      <c r="K7" s="14" t="n">
        <v>0.2428</v>
      </c>
      <c r="L7" s="14" t="n">
        <v>0.2495</v>
      </c>
    </row>
    <row r="8">
      <c r="A8" s="6" t="inlineStr">
        <is>
          <t>harvest_20251112_secano_m3_r1</t>
        </is>
      </c>
      <c r="B8" s="13" t="n">
        <v>45973</v>
      </c>
      <c r="C8" s="12" t="n">
        <v>156</v>
      </c>
      <c r="D8" s="6" t="inlineStr">
        <is>
          <t>Secano</t>
        </is>
      </c>
      <c r="E8" s="6" t="inlineStr">
        <is>
          <t>M3</t>
        </is>
      </c>
      <c r="F8" s="6" t="inlineStr">
        <is>
          <t>R1</t>
        </is>
      </c>
      <c r="G8" s="14" t="n">
        <v>507</v>
      </c>
      <c r="H8" s="14" t="n">
        <v>110</v>
      </c>
      <c r="I8" s="14" t="n">
        <v>93.3</v>
      </c>
      <c r="J8" s="14" t="n">
        <v>0.2291</v>
      </c>
      <c r="K8" s="14" t="n">
        <v>0.2519</v>
      </c>
      <c r="L8" s="14" t="n">
        <v>0.2355</v>
      </c>
    </row>
    <row r="9">
      <c r="A9" s="6" t="inlineStr">
        <is>
          <t>harvest_20251112_secano_m4_r1</t>
        </is>
      </c>
      <c r="B9" s="13" t="n">
        <v>45973</v>
      </c>
      <c r="C9" s="12" t="n">
        <v>157</v>
      </c>
      <c r="D9" s="6" t="inlineStr">
        <is>
          <t>Secano</t>
        </is>
      </c>
      <c r="E9" s="6" t="inlineStr">
        <is>
          <t>M4</t>
        </is>
      </c>
      <c r="F9" s="6" t="inlineStr">
        <is>
          <t>R1</t>
        </is>
      </c>
      <c r="G9" s="14" t="n">
        <v>549</v>
      </c>
      <c r="H9" s="14" t="n">
        <v>114.6</v>
      </c>
      <c r="I9" s="14" t="n">
        <v>95.5</v>
      </c>
      <c r="J9" s="14" t="n">
        <v>0.2434</v>
      </c>
      <c r="K9" s="14" t="n">
        <v>0.255</v>
      </c>
      <c r="L9" s="14" t="n">
        <v>0.2416</v>
      </c>
    </row>
    <row r="10">
      <c r="A10" s="6" t="inlineStr">
        <is>
          <t>harvest_20251112_secano_m5_r1</t>
        </is>
      </c>
      <c r="B10" s="13" t="n">
        <v>45973</v>
      </c>
      <c r="C10" s="12" t="n">
        <v>158</v>
      </c>
      <c r="D10" s="6" t="inlineStr">
        <is>
          <t>Secano</t>
        </is>
      </c>
      <c r="E10" s="6" t="inlineStr">
        <is>
          <t>M5</t>
        </is>
      </c>
      <c r="F10" s="6" t="inlineStr">
        <is>
          <t>R1</t>
        </is>
      </c>
      <c r="G10" s="14" t="n">
        <v>390</v>
      </c>
      <c r="H10" s="14" t="n">
        <v>84.8</v>
      </c>
      <c r="I10" s="14" t="n">
        <v>71.7</v>
      </c>
      <c r="J10" s="14" t="n">
        <v>0.234</v>
      </c>
      <c r="K10" s="14" t="n">
        <v>0.2444</v>
      </c>
      <c r="L10" s="14" t="n">
        <v>0.2523</v>
      </c>
    </row>
    <row r="11">
      <c r="A11" s="6" t="inlineStr">
        <is>
          <t>harvest_20251112_secano_m3_r2</t>
        </is>
      </c>
      <c r="B11" s="13" t="n">
        <v>45973</v>
      </c>
      <c r="C11" s="12" t="n">
        <v>159</v>
      </c>
      <c r="D11" s="6" t="inlineStr">
        <is>
          <t>Secano</t>
        </is>
      </c>
      <c r="E11" s="6" t="inlineStr">
        <is>
          <t>M3</t>
        </is>
      </c>
      <c r="F11" s="6" t="inlineStr">
        <is>
          <t>R2</t>
        </is>
      </c>
      <c r="G11" s="14" t="n">
        <v>612</v>
      </c>
      <c r="H11" s="14" t="n">
        <v>119.7</v>
      </c>
      <c r="I11" s="14" t="n">
        <v>97.40000000000001</v>
      </c>
      <c r="J11" s="14" t="n">
        <v>0.2259</v>
      </c>
      <c r="K11" s="14" t="n">
        <v>0.2183</v>
      </c>
      <c r="L11" s="14" t="n">
        <v>0.2343</v>
      </c>
    </row>
    <row r="12">
      <c r="A12" s="6" t="inlineStr">
        <is>
          <t>harvest_20251112_secano_m2_r2</t>
        </is>
      </c>
      <c r="B12" s="13" t="n">
        <v>45973</v>
      </c>
      <c r="C12" s="12" t="n">
        <v>160</v>
      </c>
      <c r="D12" s="6" t="inlineStr">
        <is>
          <t>Secano</t>
        </is>
      </c>
      <c r="E12" s="6" t="inlineStr">
        <is>
          <t>M2</t>
        </is>
      </c>
      <c r="F12" s="6" t="inlineStr">
        <is>
          <t>R2</t>
        </is>
      </c>
      <c r="G12" s="14" t="n">
        <v>540</v>
      </c>
      <c r="H12" s="14" t="n">
        <v>124.7</v>
      </c>
      <c r="I12" s="14" t="n">
        <v>106.1</v>
      </c>
      <c r="J12" s="14" t="n">
        <v>0.2621</v>
      </c>
      <c r="K12" s="14" t="n">
        <v>0.2573</v>
      </c>
      <c r="L12" s="14" t="n">
        <v>0.2589</v>
      </c>
    </row>
    <row r="13">
      <c r="A13" s="6" t="inlineStr">
        <is>
          <t>harvest_20251112_secano_m4_r2</t>
        </is>
      </c>
      <c r="B13" s="13" t="n">
        <v>45973</v>
      </c>
      <c r="C13" s="12" t="n">
        <v>161</v>
      </c>
      <c r="D13" s="6" t="inlineStr">
        <is>
          <t>Secano</t>
        </is>
      </c>
      <c r="E13" s="6" t="inlineStr">
        <is>
          <t>M4</t>
        </is>
      </c>
      <c r="F13" s="6" t="inlineStr">
        <is>
          <t>R2</t>
        </is>
      </c>
      <c r="G13" s="14" t="n">
        <v>586</v>
      </c>
      <c r="H13" s="14" t="n">
        <v>145.4</v>
      </c>
      <c r="I13" s="14" t="n">
        <v>125</v>
      </c>
      <c r="J13" s="14" t="n">
        <v>0.2594</v>
      </c>
      <c r="K13" s="14" t="n">
        <v>0.2624</v>
      </c>
      <c r="L13" s="14" t="n">
        <v>0.2729</v>
      </c>
    </row>
    <row r="14">
      <c r="A14" s="6" t="inlineStr">
        <is>
          <t>harvest_20251112_secano_m0_r2</t>
        </is>
      </c>
      <c r="B14" s="13" t="n">
        <v>45973</v>
      </c>
      <c r="C14" s="12" t="n">
        <v>162</v>
      </c>
      <c r="D14" s="6" t="inlineStr">
        <is>
          <t>Secano</t>
        </is>
      </c>
      <c r="E14" s="6" t="inlineStr">
        <is>
          <t>M0</t>
        </is>
      </c>
      <c r="F14" s="6" t="inlineStr">
        <is>
          <t>R2</t>
        </is>
      </c>
      <c r="G14" s="14" t="n">
        <v>433</v>
      </c>
      <c r="H14" s="14" t="n">
        <v>57.1</v>
      </c>
      <c r="I14" s="14" t="n">
        <v>48.2</v>
      </c>
      <c r="J14" s="14" t="n">
        <v>0.2613</v>
      </c>
      <c r="K14" s="14" t="n">
        <v>0.2479</v>
      </c>
      <c r="L14" s="14" t="n">
        <v>0.2509</v>
      </c>
    </row>
    <row r="15">
      <c r="A15" s="6" t="inlineStr">
        <is>
          <t>harvest_20251112_secano_m1_r2</t>
        </is>
      </c>
      <c r="B15" s="13" t="n">
        <v>45973</v>
      </c>
      <c r="C15" s="12" t="n">
        <v>163</v>
      </c>
      <c r="D15" s="6" t="inlineStr">
        <is>
          <t>Secano</t>
        </is>
      </c>
      <c r="E15" s="6" t="inlineStr">
        <is>
          <t>M1</t>
        </is>
      </c>
      <c r="F15" s="6" t="inlineStr">
        <is>
          <t>R2</t>
        </is>
      </c>
      <c r="G15" s="14" t="n">
        <v>693</v>
      </c>
      <c r="H15" s="14" t="n">
        <v>129.7</v>
      </c>
      <c r="I15" s="14" t="n">
        <v>110.3</v>
      </c>
      <c r="J15" s="14" t="n">
        <v>0.2489</v>
      </c>
      <c r="K15" s="14" t="n">
        <v>0.2543</v>
      </c>
      <c r="L15" s="14" t="n">
        <v>0.2527</v>
      </c>
    </row>
    <row r="16">
      <c r="A16" s="6" t="inlineStr">
        <is>
          <t>harvest_20251112_secano_m5_r2</t>
        </is>
      </c>
      <c r="B16" s="13" t="n">
        <v>45973</v>
      </c>
      <c r="C16" s="12" t="n">
        <v>164</v>
      </c>
      <c r="D16" s="6" t="inlineStr">
        <is>
          <t>Secano</t>
        </is>
      </c>
      <c r="E16" s="6" t="inlineStr">
        <is>
          <t>M5</t>
        </is>
      </c>
      <c r="F16" s="6" t="inlineStr">
        <is>
          <t>R2</t>
        </is>
      </c>
      <c r="G16" s="14" t="n">
        <v>531</v>
      </c>
      <c r="H16" s="14" t="n">
        <v>117.7</v>
      </c>
      <c r="I16" s="14" t="n">
        <v>97.59999999999999</v>
      </c>
      <c r="J16" s="14" t="n">
        <v>0.2563</v>
      </c>
      <c r="K16" s="14" t="n">
        <v>0.2418</v>
      </c>
      <c r="L16" s="14" t="n">
        <v>0.237</v>
      </c>
    </row>
    <row r="17">
      <c r="A17" s="6" t="inlineStr">
        <is>
          <t>harvest_20251112_secano_m3_r3</t>
        </is>
      </c>
      <c r="B17" s="13" t="n">
        <v>45973</v>
      </c>
      <c r="C17" s="12" t="n">
        <v>165</v>
      </c>
      <c r="D17" s="6" t="inlineStr">
        <is>
          <t>Secano</t>
        </is>
      </c>
      <c r="E17" s="6" t="inlineStr">
        <is>
          <t>M3</t>
        </is>
      </c>
      <c r="F17" s="6" t="inlineStr">
        <is>
          <t>R3</t>
        </is>
      </c>
      <c r="G17" s="14" t="n">
        <v>562</v>
      </c>
      <c r="H17" s="14" t="n">
        <v>121.1</v>
      </c>
      <c r="I17" s="14" t="n">
        <v>104.1</v>
      </c>
      <c r="J17" s="14" t="n">
        <v>0.2467</v>
      </c>
      <c r="K17" s="14" t="n">
        <v>0.2431</v>
      </c>
      <c r="L17" s="14" t="n">
        <v>0.229</v>
      </c>
    </row>
    <row r="18">
      <c r="A18" s="6" t="inlineStr">
        <is>
          <t>harvest_20251112_secano_m4_r3</t>
        </is>
      </c>
      <c r="B18" s="13" t="n">
        <v>45973</v>
      </c>
      <c r="C18" s="12" t="n">
        <v>166</v>
      </c>
      <c r="D18" s="6" t="inlineStr">
        <is>
          <t>Secano</t>
        </is>
      </c>
      <c r="E18" s="6" t="inlineStr">
        <is>
          <t>M4</t>
        </is>
      </c>
      <c r="F18" s="6" t="inlineStr">
        <is>
          <t>R3</t>
        </is>
      </c>
      <c r="G18" s="14" t="n">
        <v>485</v>
      </c>
      <c r="H18" s="14" t="n">
        <v>119.7</v>
      </c>
      <c r="I18" s="14" t="n">
        <v>103.3</v>
      </c>
      <c r="J18" s="14" t="n">
        <v>0.2418</v>
      </c>
      <c r="K18" s="14" t="n">
        <v>0.2242</v>
      </c>
      <c r="L18" s="14" t="n">
        <v>0.2344</v>
      </c>
    </row>
    <row r="19">
      <c r="A19" s="6" t="inlineStr">
        <is>
          <t>harvest_20251112_secano_m0_r3</t>
        </is>
      </c>
      <c r="B19" s="13" t="n">
        <v>45973</v>
      </c>
      <c r="C19" s="12" t="n">
        <v>167</v>
      </c>
      <c r="D19" s="6" t="inlineStr">
        <is>
          <t>Secano</t>
        </is>
      </c>
      <c r="E19" s="6" t="inlineStr">
        <is>
          <t>M0</t>
        </is>
      </c>
      <c r="F19" s="6" t="inlineStr">
        <is>
          <t>R3</t>
        </is>
      </c>
      <c r="G19" s="14" t="n">
        <v>502</v>
      </c>
      <c r="H19" s="14" t="n">
        <v>55.3</v>
      </c>
      <c r="I19" s="14" t="n">
        <v>46.8</v>
      </c>
      <c r="J19" s="14" t="n">
        <v>0.2476</v>
      </c>
      <c r="K19" s="14" t="n">
        <v>0.2401</v>
      </c>
      <c r="L19" s="14" t="n">
        <v>0.2227</v>
      </c>
    </row>
    <row r="20">
      <c r="A20" s="6" t="inlineStr">
        <is>
          <t>harvest_20251112_secano_m1_r3</t>
        </is>
      </c>
      <c r="B20" s="13" t="n">
        <v>45973</v>
      </c>
      <c r="C20" s="12" t="n">
        <v>168</v>
      </c>
      <c r="D20" s="6" t="inlineStr">
        <is>
          <t>Secano</t>
        </is>
      </c>
      <c r="E20" s="6" t="inlineStr">
        <is>
          <t>M1</t>
        </is>
      </c>
      <c r="F20" s="6" t="inlineStr">
        <is>
          <t>R3</t>
        </is>
      </c>
      <c r="G20" s="14" t="n">
        <v>748</v>
      </c>
      <c r="H20" s="14" t="n">
        <v>133.3</v>
      </c>
      <c r="I20" s="14" t="n">
        <v>109.2</v>
      </c>
      <c r="J20" s="14" t="n">
        <v>0.2447</v>
      </c>
      <c r="K20" s="14" t="n">
        <v>0.2369</v>
      </c>
      <c r="L20" s="14" t="n">
        <v>0.2325</v>
      </c>
    </row>
    <row r="21">
      <c r="A21" s="6" t="inlineStr">
        <is>
          <t>harvest_20251112_secano_m5_r3</t>
        </is>
      </c>
      <c r="B21" s="13" t="n">
        <v>45973</v>
      </c>
      <c r="C21" s="12" t="n">
        <v>169</v>
      </c>
      <c r="D21" s="6" t="inlineStr">
        <is>
          <t>Secano</t>
        </is>
      </c>
      <c r="E21" s="6" t="inlineStr">
        <is>
          <t>M5</t>
        </is>
      </c>
      <c r="F21" s="6" t="inlineStr">
        <is>
          <t>R3</t>
        </is>
      </c>
      <c r="G21" s="14" t="n">
        <v>648</v>
      </c>
      <c r="H21" s="14" t="n">
        <v>118.6</v>
      </c>
      <c r="I21" s="14" t="n">
        <v>103.2</v>
      </c>
      <c r="J21" s="14" t="n">
        <v>0.2455</v>
      </c>
      <c r="K21" s="14" t="n">
        <v>0.2669</v>
      </c>
      <c r="L21" s="14" t="n">
        <v>0.2511</v>
      </c>
    </row>
    <row r="22">
      <c r="A22" s="6" t="inlineStr">
        <is>
          <t>harvest_20251112_secano_m2_r3</t>
        </is>
      </c>
      <c r="B22" s="13" t="n">
        <v>45973</v>
      </c>
      <c r="C22" s="12" t="n">
        <v>170</v>
      </c>
      <c r="D22" s="6" t="inlineStr">
        <is>
          <t>Secano</t>
        </is>
      </c>
      <c r="E22" s="6" t="inlineStr">
        <is>
          <t>M2</t>
        </is>
      </c>
      <c r="F22" s="6" t="inlineStr">
        <is>
          <t>R3</t>
        </is>
      </c>
      <c r="G22" s="14" t="n">
        <v>657</v>
      </c>
      <c r="H22" s="14" t="n">
        <v>127.9</v>
      </c>
      <c r="I22" s="14" t="n">
        <v>109.2</v>
      </c>
      <c r="J22" s="14" t="n">
        <v>0.2374</v>
      </c>
      <c r="K22" s="14" t="n">
        <v>0.2161</v>
      </c>
      <c r="L22" s="14" t="n">
        <v>0.2274</v>
      </c>
    </row>
    <row r="23">
      <c r="A23" s="6" t="inlineStr">
        <is>
          <t>harvest_20251112_secano_m1_r4</t>
        </is>
      </c>
      <c r="B23" s="13" t="n">
        <v>45973</v>
      </c>
      <c r="C23" s="12" t="n">
        <v>171</v>
      </c>
      <c r="D23" s="6" t="inlineStr">
        <is>
          <t>Secano</t>
        </is>
      </c>
      <c r="E23" s="6" t="inlineStr">
        <is>
          <t>M1</t>
        </is>
      </c>
      <c r="F23" s="6" t="inlineStr">
        <is>
          <t>R4</t>
        </is>
      </c>
      <c r="G23" s="14" t="n">
        <v>600</v>
      </c>
      <c r="H23" s="14" t="n">
        <v>110.3</v>
      </c>
      <c r="I23" s="14" t="n">
        <v>90.7</v>
      </c>
      <c r="J23" s="14" t="n">
        <v>0.2076</v>
      </c>
      <c r="K23" s="14" t="n">
        <v>0.1978</v>
      </c>
      <c r="L23" s="14" t="n">
        <v>0.192</v>
      </c>
    </row>
    <row r="24">
      <c r="A24" s="6" t="inlineStr">
        <is>
          <t>harvest_20251112_secano_m0_r4</t>
        </is>
      </c>
      <c r="B24" s="13" t="n">
        <v>45973</v>
      </c>
      <c r="C24" s="12" t="n">
        <v>172</v>
      </c>
      <c r="D24" s="6" t="inlineStr">
        <is>
          <t>Secano</t>
        </is>
      </c>
      <c r="E24" s="6" t="inlineStr">
        <is>
          <t>M0</t>
        </is>
      </c>
      <c r="F24" s="6" t="inlineStr">
        <is>
          <t>R4</t>
        </is>
      </c>
      <c r="G24" s="14" t="n">
        <v>537</v>
      </c>
      <c r="H24" s="14" t="n">
        <v>100</v>
      </c>
      <c r="I24" s="14" t="n">
        <v>84.09999999999999</v>
      </c>
      <c r="J24" s="14" t="n">
        <v>0.2471</v>
      </c>
      <c r="K24" s="14" t="n">
        <v>0.2505</v>
      </c>
      <c r="L24" s="14" t="n">
        <v>0.2379</v>
      </c>
    </row>
    <row r="25">
      <c r="A25" s="6" t="inlineStr">
        <is>
          <t>harvest_20251112_secano_m5_r4</t>
        </is>
      </c>
      <c r="B25" s="13" t="n">
        <v>45973</v>
      </c>
      <c r="C25" s="12" t="n">
        <v>173</v>
      </c>
      <c r="D25" s="6" t="inlineStr">
        <is>
          <t>Secano</t>
        </is>
      </c>
      <c r="E25" s="6" t="inlineStr">
        <is>
          <t>M5</t>
        </is>
      </c>
      <c r="F25" s="6" t="inlineStr">
        <is>
          <t>R4</t>
        </is>
      </c>
      <c r="G25" s="14" t="n">
        <v>498</v>
      </c>
      <c r="H25" s="14" t="n">
        <v>133.3</v>
      </c>
      <c r="I25" s="14" t="n">
        <v>114.7</v>
      </c>
      <c r="J25" s="14" t="n">
        <v>0.2714</v>
      </c>
      <c r="K25" s="14" t="n">
        <v>0.2568</v>
      </c>
      <c r="L25" s="14" t="n">
        <v>0.2477</v>
      </c>
    </row>
    <row r="26">
      <c r="A26" s="6" t="inlineStr">
        <is>
          <t>harvest_20251112_secano_m4_r4</t>
        </is>
      </c>
      <c r="B26" s="13" t="n">
        <v>45973</v>
      </c>
      <c r="C26" s="12" t="n">
        <v>174</v>
      </c>
      <c r="D26" s="6" t="inlineStr">
        <is>
          <t>Secano</t>
        </is>
      </c>
      <c r="E26" s="6" t="inlineStr">
        <is>
          <t>M4</t>
        </is>
      </c>
      <c r="F26" s="6" t="inlineStr">
        <is>
          <t>R4</t>
        </is>
      </c>
      <c r="G26" s="14" t="n">
        <v>667</v>
      </c>
      <c r="H26" s="14" t="n">
        <v>146.2</v>
      </c>
      <c r="I26" s="14" t="n">
        <v>123.3</v>
      </c>
      <c r="J26" s="14" t="n">
        <v>0.2414</v>
      </c>
      <c r="K26" s="14" t="n">
        <v>0.2402</v>
      </c>
      <c r="L26" s="14" t="n">
        <v>0.2277</v>
      </c>
    </row>
    <row r="27">
      <c r="A27" s="6" t="inlineStr">
        <is>
          <t>harvest_20251112_secano_m3_r4</t>
        </is>
      </c>
      <c r="B27" s="13" t="n">
        <v>45973</v>
      </c>
      <c r="C27" s="12" t="n">
        <v>175</v>
      </c>
      <c r="D27" s="6" t="inlineStr">
        <is>
          <t>Secano</t>
        </is>
      </c>
      <c r="E27" s="6" t="inlineStr">
        <is>
          <t>M3</t>
        </is>
      </c>
      <c r="F27" s="6" t="inlineStr">
        <is>
          <t>R4</t>
        </is>
      </c>
      <c r="G27" s="14" t="n">
        <v>566</v>
      </c>
      <c r="H27" s="14" t="n">
        <v>136.7</v>
      </c>
      <c r="I27" s="14" t="n">
        <v>113.6</v>
      </c>
      <c r="J27" s="14" t="n">
        <v>0.2332</v>
      </c>
      <c r="K27" s="14" t="n">
        <v>0.2313</v>
      </c>
      <c r="L27" s="14" t="n">
        <v>0.2368</v>
      </c>
    </row>
    <row r="28">
      <c r="A28" s="6" t="inlineStr">
        <is>
          <t>harvest_20251112_secano_m2_r4</t>
        </is>
      </c>
      <c r="B28" s="13" t="n">
        <v>45973</v>
      </c>
      <c r="C28" s="12" t="n">
        <v>176</v>
      </c>
      <c r="D28" s="6" t="inlineStr">
        <is>
          <t>Secano</t>
        </is>
      </c>
      <c r="E28" s="6" t="inlineStr">
        <is>
          <t>M2</t>
        </is>
      </c>
      <c r="F28" s="6" t="inlineStr">
        <is>
          <t>R4</t>
        </is>
      </c>
      <c r="G28" s="14" t="n">
        <v>709</v>
      </c>
      <c r="H28" s="14" t="n">
        <v>129.1</v>
      </c>
      <c r="I28" s="14" t="n">
        <v>108.9</v>
      </c>
      <c r="J28" s="14" t="n">
        <v>0.2628</v>
      </c>
      <c r="K28" s="14" t="n">
        <v>0.2523</v>
      </c>
      <c r="L28" s="14" t="n">
        <v>0.2692</v>
      </c>
    </row>
    <row r="29">
      <c r="A29" s="6" t="inlineStr">
        <is>
          <t>harvest_20251112_riego_m0_r1</t>
        </is>
      </c>
      <c r="B29" s="13" t="n">
        <v>45973</v>
      </c>
      <c r="C29" s="12" t="n">
        <v>177</v>
      </c>
      <c r="D29" s="6" t="inlineStr">
        <is>
          <t>Riego</t>
        </is>
      </c>
      <c r="E29" s="6" t="inlineStr">
        <is>
          <t>M0</t>
        </is>
      </c>
      <c r="F29" s="6" t="inlineStr">
        <is>
          <t>R1</t>
        </is>
      </c>
      <c r="G29" s="14" t="n">
        <v>452</v>
      </c>
      <c r="H29" s="14" t="n">
        <v>52.5</v>
      </c>
      <c r="I29" s="14" t="n">
        <v>36.9</v>
      </c>
      <c r="J29" s="14" t="n">
        <v>0.2277</v>
      </c>
      <c r="K29" s="14" t="n">
        <v>0.2398</v>
      </c>
      <c r="L29" s="14" t="n">
        <v>0.2275</v>
      </c>
    </row>
    <row r="30">
      <c r="A30" s="6" t="inlineStr">
        <is>
          <t>harvest_20251112_riego_m1_r1</t>
        </is>
      </c>
      <c r="B30" s="13" t="n">
        <v>45973</v>
      </c>
      <c r="C30" s="12" t="n">
        <v>178</v>
      </c>
      <c r="D30" s="6" t="inlineStr">
        <is>
          <t>Riego</t>
        </is>
      </c>
      <c r="E30" s="6" t="inlineStr">
        <is>
          <t>M1</t>
        </is>
      </c>
      <c r="F30" s="6" t="inlineStr">
        <is>
          <t>R1</t>
        </is>
      </c>
      <c r="G30" s="14" t="n">
        <v>571</v>
      </c>
      <c r="H30" s="14" t="n">
        <v>114.5</v>
      </c>
      <c r="I30" s="14" t="n">
        <v>87.40000000000001</v>
      </c>
      <c r="J30" s="14" t="n">
        <v>0.2344</v>
      </c>
      <c r="K30" s="14" t="n">
        <v>0.237</v>
      </c>
      <c r="L30" s="14" t="n">
        <v>0.2362</v>
      </c>
    </row>
    <row r="31">
      <c r="A31" s="6" t="inlineStr">
        <is>
          <t>harvest_20251112_riego_m2_r1</t>
        </is>
      </c>
      <c r="B31" s="13" t="n">
        <v>45973</v>
      </c>
      <c r="C31" s="12" t="n">
        <v>179</v>
      </c>
      <c r="D31" s="6" t="inlineStr">
        <is>
          <t>Riego</t>
        </is>
      </c>
      <c r="E31" s="6" t="inlineStr">
        <is>
          <t>M2</t>
        </is>
      </c>
      <c r="F31" s="6" t="inlineStr">
        <is>
          <t>R1</t>
        </is>
      </c>
      <c r="G31" s="14" t="n">
        <v>580</v>
      </c>
      <c r="H31" s="14" t="n">
        <v>152.4</v>
      </c>
      <c r="I31" s="14" t="n">
        <v>128.7</v>
      </c>
      <c r="J31" s="14" t="n">
        <v>0.239</v>
      </c>
      <c r="K31" s="14" t="n">
        <v>0.2126</v>
      </c>
      <c r="L31" s="14" t="n">
        <v>0.214</v>
      </c>
    </row>
    <row r="32">
      <c r="A32" s="6" t="inlineStr">
        <is>
          <t>harvest_20251112_riego_m3_r1</t>
        </is>
      </c>
      <c r="B32" s="13" t="n">
        <v>45973</v>
      </c>
      <c r="C32" s="12" t="n">
        <v>180</v>
      </c>
      <c r="D32" s="6" t="inlineStr">
        <is>
          <t>Riego</t>
        </is>
      </c>
      <c r="E32" s="6" t="inlineStr">
        <is>
          <t>M3</t>
        </is>
      </c>
      <c r="F32" s="6" t="inlineStr">
        <is>
          <t>R1</t>
        </is>
      </c>
      <c r="G32" s="14" t="n">
        <v>640</v>
      </c>
      <c r="H32" s="14" t="n">
        <v>139.3</v>
      </c>
      <c r="I32" s="14" t="n">
        <v>108.8</v>
      </c>
      <c r="J32" s="14" t="n">
        <v>0.2231</v>
      </c>
      <c r="K32" s="14" t="n">
        <v>0.2229</v>
      </c>
      <c r="L32" s="14" t="n">
        <v>0.212</v>
      </c>
    </row>
    <row r="33">
      <c r="A33" s="6" t="inlineStr">
        <is>
          <t>harvest_20251112_riego_m4_r1</t>
        </is>
      </c>
      <c r="B33" s="13" t="n">
        <v>45973</v>
      </c>
      <c r="C33" s="12" t="n">
        <v>181</v>
      </c>
      <c r="D33" s="6" t="inlineStr">
        <is>
          <t>Riego</t>
        </is>
      </c>
      <c r="E33" s="6" t="inlineStr">
        <is>
          <t>M4</t>
        </is>
      </c>
      <c r="F33" s="6" t="inlineStr">
        <is>
          <t>R1</t>
        </is>
      </c>
      <c r="G33" s="14" t="n">
        <v>487</v>
      </c>
      <c r="H33" s="14" t="n">
        <v>112.8</v>
      </c>
      <c r="I33" s="14" t="n">
        <v>93.90000000000001</v>
      </c>
      <c r="J33" s="14" t="n">
        <v>0.2191</v>
      </c>
      <c r="K33" s="14" t="n">
        <v>0.2173</v>
      </c>
      <c r="L33" s="14" t="n">
        <v>0.234</v>
      </c>
    </row>
    <row r="34">
      <c r="A34" s="6" t="inlineStr">
        <is>
          <t>harvest_20251112_riego_m5_r1</t>
        </is>
      </c>
      <c r="B34" s="13" t="n">
        <v>45973</v>
      </c>
      <c r="C34" s="12" t="n">
        <v>182</v>
      </c>
      <c r="D34" s="6" t="inlineStr">
        <is>
          <t>Riego</t>
        </is>
      </c>
      <c r="E34" s="6" t="inlineStr">
        <is>
          <t>M5</t>
        </is>
      </c>
      <c r="F34" s="6" t="inlineStr">
        <is>
          <t>R1</t>
        </is>
      </c>
      <c r="G34" s="14" t="n">
        <v>369</v>
      </c>
      <c r="H34" s="14" t="n">
        <v>107.8</v>
      </c>
      <c r="I34" s="14" t="n">
        <v>89.5</v>
      </c>
      <c r="J34" s="14" t="n">
        <v>0.2522</v>
      </c>
      <c r="K34" s="14" t="n">
        <v>0.2584</v>
      </c>
      <c r="L34" s="14" t="n">
        <v>0.2603</v>
      </c>
    </row>
    <row r="35">
      <c r="A35" s="6" t="inlineStr">
        <is>
          <t>harvest_20251112_riego_m3_r2</t>
        </is>
      </c>
      <c r="B35" s="13" t="n">
        <v>45973</v>
      </c>
      <c r="C35" s="12" t="n">
        <v>183</v>
      </c>
      <c r="D35" s="6" t="inlineStr">
        <is>
          <t>Riego</t>
        </is>
      </c>
      <c r="E35" s="6" t="inlineStr">
        <is>
          <t>M3</t>
        </is>
      </c>
      <c r="F35" s="6" t="inlineStr">
        <is>
          <t>R2</t>
        </is>
      </c>
      <c r="G35" s="14" t="n">
        <v>471</v>
      </c>
      <c r="H35" s="14" t="n">
        <v>94.90000000000001</v>
      </c>
      <c r="I35" s="14" t="n">
        <v>77.7</v>
      </c>
      <c r="J35" s="14" t="n">
        <v>0.2758</v>
      </c>
      <c r="K35" s="14" t="n">
        <v>0.2628</v>
      </c>
      <c r="L35" s="14" t="n">
        <v>0.2712</v>
      </c>
    </row>
    <row r="36">
      <c r="A36" s="6" t="inlineStr">
        <is>
          <t>harvest_20251112_riego_m2_r2</t>
        </is>
      </c>
      <c r="B36" s="13" t="n">
        <v>45973</v>
      </c>
      <c r="C36" s="12" t="n">
        <v>184</v>
      </c>
      <c r="D36" s="6" t="inlineStr">
        <is>
          <t>Riego</t>
        </is>
      </c>
      <c r="E36" s="6" t="inlineStr">
        <is>
          <t>M2</t>
        </is>
      </c>
      <c r="F36" s="6" t="inlineStr">
        <is>
          <t>R2</t>
        </is>
      </c>
      <c r="G36" s="14" t="n">
        <v>648</v>
      </c>
      <c r="H36" s="14" t="n">
        <v>120</v>
      </c>
      <c r="I36" s="14" t="n">
        <v>100.1</v>
      </c>
      <c r="J36" s="14" t="n">
        <v>0.2367</v>
      </c>
      <c r="K36" s="14" t="n">
        <v>0.2238</v>
      </c>
      <c r="L36" s="14" t="n">
        <v>0.2305</v>
      </c>
    </row>
    <row r="37">
      <c r="A37" s="6" t="inlineStr">
        <is>
          <t>harvest_20251112_riego_m4_r2</t>
        </is>
      </c>
      <c r="B37" s="13" t="n">
        <v>45973</v>
      </c>
      <c r="C37" s="12" t="n">
        <v>185</v>
      </c>
      <c r="D37" s="6" t="inlineStr">
        <is>
          <t>Riego</t>
        </is>
      </c>
      <c r="E37" s="6" t="inlineStr">
        <is>
          <t>M4</t>
        </is>
      </c>
      <c r="F37" s="6" t="inlineStr">
        <is>
          <t>R2</t>
        </is>
      </c>
      <c r="G37" s="14" t="n">
        <v>418</v>
      </c>
      <c r="H37" s="14" t="n">
        <v>127.3</v>
      </c>
      <c r="I37" s="14" t="n">
        <v>109.7</v>
      </c>
      <c r="J37" s="14" t="n">
        <v>0.2675</v>
      </c>
      <c r="K37" s="14" t="n">
        <v>0.2698</v>
      </c>
      <c r="L37" s="14" t="n">
        <v>0.265</v>
      </c>
    </row>
    <row r="38">
      <c r="A38" s="6" t="inlineStr">
        <is>
          <t>harvest_20251112_riego_m0_r2</t>
        </is>
      </c>
      <c r="B38" s="13" t="n">
        <v>45973</v>
      </c>
      <c r="C38" s="12" t="n">
        <v>186</v>
      </c>
      <c r="D38" s="6" t="inlineStr">
        <is>
          <t>Riego</t>
        </is>
      </c>
      <c r="E38" s="6" t="inlineStr">
        <is>
          <t>M0</t>
        </is>
      </c>
      <c r="F38" s="6" t="inlineStr">
        <is>
          <t>R2</t>
        </is>
      </c>
      <c r="G38" s="14" t="n">
        <v>386</v>
      </c>
      <c r="H38" s="14" t="n">
        <v>62.2</v>
      </c>
      <c r="I38" s="14" t="n">
        <v>48.6</v>
      </c>
      <c r="J38" s="14" t="n">
        <v>0.2153</v>
      </c>
      <c r="K38" s="14" t="n">
        <v>0.2278</v>
      </c>
      <c r="L38" s="14" t="n">
        <v>0.2174</v>
      </c>
    </row>
    <row r="39">
      <c r="A39" s="6" t="inlineStr">
        <is>
          <t>harvest_20251112_riego_m1_r2</t>
        </is>
      </c>
      <c r="B39" s="13" t="n">
        <v>45973</v>
      </c>
      <c r="C39" s="12" t="n">
        <v>187</v>
      </c>
      <c r="D39" s="6" t="inlineStr">
        <is>
          <t>Riego</t>
        </is>
      </c>
      <c r="E39" s="6" t="inlineStr">
        <is>
          <t>M1</t>
        </is>
      </c>
      <c r="F39" s="6" t="inlineStr">
        <is>
          <t>R2</t>
        </is>
      </c>
      <c r="G39" s="14" t="n">
        <v>593</v>
      </c>
      <c r="H39" s="14" t="n">
        <v>116.4</v>
      </c>
      <c r="I39" s="14" t="n">
        <v>92.7</v>
      </c>
      <c r="J39" s="14" t="n">
        <v>0.2212</v>
      </c>
      <c r="K39" s="14" t="n">
        <v>0.2143</v>
      </c>
      <c r="L39" s="14" t="n">
        <v>0.2095</v>
      </c>
    </row>
    <row r="40">
      <c r="A40" s="6" t="inlineStr">
        <is>
          <t>harvest_20251112_riego_m5_r2</t>
        </is>
      </c>
      <c r="B40" s="13" t="n">
        <v>45973</v>
      </c>
      <c r="C40" s="12" t="n">
        <v>188</v>
      </c>
      <c r="D40" s="6" t="inlineStr">
        <is>
          <t>Riego</t>
        </is>
      </c>
      <c r="E40" s="6" t="inlineStr">
        <is>
          <t>M5</t>
        </is>
      </c>
      <c r="F40" s="6" t="inlineStr">
        <is>
          <t>R2</t>
        </is>
      </c>
      <c r="G40" s="14" t="n">
        <v>459</v>
      </c>
      <c r="H40" s="14" t="n">
        <v>108.7</v>
      </c>
      <c r="I40" s="14" t="n">
        <v>85.8</v>
      </c>
      <c r="J40" s="14" t="n">
        <v>0.2148</v>
      </c>
      <c r="K40" s="14" t="n">
        <v>0.2207</v>
      </c>
      <c r="L40" s="14" t="n">
        <v>0.2141</v>
      </c>
    </row>
    <row r="41">
      <c r="A41" s="6" t="inlineStr">
        <is>
          <t>harvest_20251112_riego_m3_r3</t>
        </is>
      </c>
      <c r="B41" s="13" t="n">
        <v>45973</v>
      </c>
      <c r="C41" s="12" t="n">
        <v>189</v>
      </c>
      <c r="D41" s="6" t="inlineStr">
        <is>
          <t>Riego</t>
        </is>
      </c>
      <c r="E41" s="6" t="inlineStr">
        <is>
          <t>M3</t>
        </is>
      </c>
      <c r="F41" s="6" t="inlineStr">
        <is>
          <t>R3</t>
        </is>
      </c>
      <c r="G41" s="14" t="n">
        <v>684</v>
      </c>
      <c r="H41" s="14" t="n">
        <v>123.4</v>
      </c>
      <c r="I41" s="14" t="n">
        <v>100</v>
      </c>
      <c r="J41" s="14" t="n">
        <v>0.2149</v>
      </c>
      <c r="K41" s="14" t="n">
        <v>0.2074</v>
      </c>
      <c r="L41" s="14" t="n">
        <v>0.2114</v>
      </c>
    </row>
    <row r="42">
      <c r="A42" s="6" t="inlineStr">
        <is>
          <t>harvest_20251112_riego_m4_r3</t>
        </is>
      </c>
      <c r="B42" s="13" t="n">
        <v>45973</v>
      </c>
      <c r="C42" s="12" t="n">
        <v>190</v>
      </c>
      <c r="D42" s="6" t="inlineStr">
        <is>
          <t>Riego</t>
        </is>
      </c>
      <c r="E42" s="6" t="inlineStr">
        <is>
          <t>M4</t>
        </is>
      </c>
      <c r="F42" s="6" t="inlineStr">
        <is>
          <t>R3</t>
        </is>
      </c>
      <c r="G42" s="14" t="n">
        <v>443</v>
      </c>
      <c r="H42" s="14" t="n">
        <v>107.4</v>
      </c>
      <c r="I42" s="14" t="n">
        <v>80.59999999999999</v>
      </c>
      <c r="J42" s="14" t="n">
        <v>0.2028</v>
      </c>
      <c r="K42" s="14" t="n">
        <v>0.207</v>
      </c>
      <c r="L42" s="14" t="n">
        <v>0.2039</v>
      </c>
    </row>
    <row r="43">
      <c r="A43" s="6" t="inlineStr">
        <is>
          <t>harvest_20251112_riego_m0_r3</t>
        </is>
      </c>
      <c r="B43" s="13" t="n">
        <v>45973</v>
      </c>
      <c r="C43" s="12" t="n">
        <v>191</v>
      </c>
      <c r="D43" s="6" t="inlineStr">
        <is>
          <t>Riego</t>
        </is>
      </c>
      <c r="E43" s="6" t="inlineStr">
        <is>
          <t>M0</t>
        </is>
      </c>
      <c r="F43" s="6" t="inlineStr">
        <is>
          <t>R3</t>
        </is>
      </c>
      <c r="G43" s="14" t="n">
        <v>388</v>
      </c>
      <c r="H43" s="14" t="n">
        <v>61.6</v>
      </c>
      <c r="I43" s="14" t="n">
        <v>50.6</v>
      </c>
      <c r="J43" s="14" t="n">
        <v>0.2322</v>
      </c>
      <c r="K43" s="14" t="n">
        <v>0.2455</v>
      </c>
      <c r="L43" s="14" t="n">
        <v>0.2473</v>
      </c>
    </row>
    <row r="44">
      <c r="A44" s="6" t="inlineStr">
        <is>
          <t>harvest_20251112_riego_m1_r3</t>
        </is>
      </c>
      <c r="B44" s="13" t="n">
        <v>45973</v>
      </c>
      <c r="C44" s="12" t="n">
        <v>192</v>
      </c>
      <c r="D44" s="6" t="inlineStr">
        <is>
          <t>Riego</t>
        </is>
      </c>
      <c r="E44" s="6" t="inlineStr">
        <is>
          <t>M1</t>
        </is>
      </c>
      <c r="F44" s="6" t="inlineStr">
        <is>
          <t>R3</t>
        </is>
      </c>
      <c r="G44" s="14" t="n">
        <v>596</v>
      </c>
      <c r="H44" s="14" t="n">
        <v>123.4</v>
      </c>
      <c r="I44" s="14" t="n">
        <v>94.59999999999999</v>
      </c>
      <c r="J44" s="14" t="n">
        <v>0.205</v>
      </c>
      <c r="K44" s="14" t="n">
        <v>0.2269</v>
      </c>
      <c r="L44" s="14" t="n">
        <v>0.2298</v>
      </c>
    </row>
    <row r="45">
      <c r="A45" s="6" t="inlineStr">
        <is>
          <t>harvest_20251112_riego_m5_r3</t>
        </is>
      </c>
      <c r="B45" s="13" t="n">
        <v>45973</v>
      </c>
      <c r="C45" s="12" t="n">
        <v>193</v>
      </c>
      <c r="D45" s="6" t="inlineStr">
        <is>
          <t>Riego</t>
        </is>
      </c>
      <c r="E45" s="6" t="inlineStr">
        <is>
          <t>M5</t>
        </is>
      </c>
      <c r="F45" s="6" t="inlineStr">
        <is>
          <t>R3</t>
        </is>
      </c>
      <c r="G45" s="14" t="n">
        <v>403</v>
      </c>
      <c r="H45" s="14" t="n">
        <v>110</v>
      </c>
      <c r="I45" s="14" t="n">
        <v>92.09999999999999</v>
      </c>
      <c r="J45" s="14" t="n">
        <v>0.2324</v>
      </c>
      <c r="K45" s="14" t="n">
        <v>0.2354</v>
      </c>
      <c r="L45" s="14" t="n">
        <v>0.2345</v>
      </c>
    </row>
    <row r="46">
      <c r="A46" s="6" t="inlineStr">
        <is>
          <t>harvest_20251112_riego_m2_r3</t>
        </is>
      </c>
      <c r="B46" s="13" t="n">
        <v>45973</v>
      </c>
      <c r="C46" s="12" t="n">
        <v>194</v>
      </c>
      <c r="D46" s="6" t="inlineStr">
        <is>
          <t>Riego</t>
        </is>
      </c>
      <c r="E46" s="6" t="inlineStr">
        <is>
          <t>M2</t>
        </is>
      </c>
      <c r="F46" s="6" t="inlineStr">
        <is>
          <t>R3</t>
        </is>
      </c>
      <c r="G46" s="14" t="n">
        <v>528</v>
      </c>
      <c r="H46" s="14" t="n">
        <v>129.1</v>
      </c>
      <c r="I46" s="14" t="n">
        <v>106</v>
      </c>
      <c r="J46" s="14" t="n">
        <v>0.2555</v>
      </c>
      <c r="K46" s="14" t="n">
        <v>0.2544</v>
      </c>
      <c r="L46" s="14" t="n">
        <v>0.2347</v>
      </c>
    </row>
    <row r="47">
      <c r="A47" s="6" t="inlineStr">
        <is>
          <t>harvest_20251112_riego_m1_r4</t>
        </is>
      </c>
      <c r="B47" s="13" t="n">
        <v>45973</v>
      </c>
      <c r="C47" s="12" t="n">
        <v>195</v>
      </c>
      <c r="D47" s="6" t="inlineStr">
        <is>
          <t>Riego</t>
        </is>
      </c>
      <c r="E47" s="6" t="inlineStr">
        <is>
          <t>M1</t>
        </is>
      </c>
      <c r="F47" s="6" t="inlineStr">
        <is>
          <t>R4</t>
        </is>
      </c>
      <c r="G47" s="14" t="n">
        <v>673</v>
      </c>
      <c r="H47" s="14" t="n">
        <v>134.5</v>
      </c>
      <c r="I47" s="14" t="n">
        <v>103.2</v>
      </c>
      <c r="J47" s="14" t="n">
        <v>0.2211</v>
      </c>
      <c r="K47" s="14" t="n">
        <v>0.2286</v>
      </c>
      <c r="L47" s="14" t="n">
        <v>0.2321</v>
      </c>
    </row>
    <row r="48">
      <c r="A48" s="6" t="inlineStr">
        <is>
          <t>harvest_20251112_riego_m0_r4</t>
        </is>
      </c>
      <c r="B48" s="13" t="n">
        <v>45973</v>
      </c>
      <c r="C48" s="12" t="n">
        <v>196</v>
      </c>
      <c r="D48" s="6" t="inlineStr">
        <is>
          <t>Riego</t>
        </is>
      </c>
      <c r="E48" s="6" t="inlineStr">
        <is>
          <t>M0</t>
        </is>
      </c>
      <c r="F48" s="6" t="inlineStr">
        <is>
          <t>R4</t>
        </is>
      </c>
      <c r="G48" s="14" t="n">
        <v>621</v>
      </c>
      <c r="H48" s="14" t="n">
        <v>80.09999999999999</v>
      </c>
      <c r="I48" s="14" t="n">
        <v>60.1</v>
      </c>
      <c r="J48" s="14" t="n">
        <v>0.1974</v>
      </c>
      <c r="K48" s="14" t="n">
        <v>0.1918</v>
      </c>
      <c r="L48" s="14" t="n">
        <v>0.2029</v>
      </c>
    </row>
    <row r="49">
      <c r="A49" s="6" t="inlineStr">
        <is>
          <t>harvest_20251112_riego_m5_r4</t>
        </is>
      </c>
      <c r="B49" s="13" t="n">
        <v>45973</v>
      </c>
      <c r="C49" s="12" t="n">
        <v>197</v>
      </c>
      <c r="D49" s="6" t="inlineStr">
        <is>
          <t>Riego</t>
        </is>
      </c>
      <c r="E49" s="6" t="inlineStr">
        <is>
          <t>M5</t>
        </is>
      </c>
      <c r="F49" s="6" t="inlineStr">
        <is>
          <t>R4</t>
        </is>
      </c>
      <c r="G49" s="14" t="n">
        <v>373</v>
      </c>
      <c r="H49" s="14" t="n">
        <v>97.09999999999999</v>
      </c>
      <c r="I49" s="14" t="n">
        <v>83</v>
      </c>
      <c r="J49" s="14" t="n">
        <v>0.2692</v>
      </c>
      <c r="K49" s="14" t="n">
        <v>0.2627</v>
      </c>
      <c r="L49" s="14" t="n">
        <v>0.2474</v>
      </c>
    </row>
    <row r="50">
      <c r="A50" s="6" t="inlineStr">
        <is>
          <t>harvest_20251112_riego_m4_r4</t>
        </is>
      </c>
      <c r="B50" s="13" t="n">
        <v>45973</v>
      </c>
      <c r="C50" s="12" t="n">
        <v>198</v>
      </c>
      <c r="D50" s="6" t="inlineStr">
        <is>
          <t>Riego</t>
        </is>
      </c>
      <c r="E50" s="6" t="inlineStr">
        <is>
          <t>M4</t>
        </is>
      </c>
      <c r="F50" s="6" t="inlineStr">
        <is>
          <t>R4</t>
        </is>
      </c>
      <c r="G50" s="14" t="n">
        <v>538</v>
      </c>
      <c r="H50" s="14" t="n">
        <v>148.1</v>
      </c>
      <c r="I50" s="14" t="n">
        <v>122.7</v>
      </c>
      <c r="J50" s="14" t="n">
        <v>0.2393</v>
      </c>
      <c r="K50" s="14" t="n">
        <v>0.2297</v>
      </c>
      <c r="L50" s="14" t="n">
        <v>0.2486</v>
      </c>
    </row>
    <row r="51">
      <c r="A51" s="6" t="inlineStr">
        <is>
          <t>harvest_20251112_riego_m3_r4</t>
        </is>
      </c>
      <c r="B51" s="13" t="n">
        <v>45973</v>
      </c>
      <c r="C51" s="12" t="n">
        <v>199</v>
      </c>
      <c r="D51" s="6" t="inlineStr">
        <is>
          <t>Riego</t>
        </is>
      </c>
      <c r="E51" s="6" t="inlineStr">
        <is>
          <t>M3</t>
        </is>
      </c>
      <c r="F51" s="6" t="inlineStr">
        <is>
          <t>R4</t>
        </is>
      </c>
      <c r="G51" s="14" t="n">
        <v>519</v>
      </c>
      <c r="H51" s="14" t="n">
        <v>119.5</v>
      </c>
      <c r="I51" s="14" t="n">
        <v>91</v>
      </c>
      <c r="J51" s="14" t="n">
        <v>0.2096</v>
      </c>
      <c r="K51" s="14" t="n">
        <v>0.2236</v>
      </c>
      <c r="L51" s="14" t="n">
        <v>0.2037</v>
      </c>
    </row>
    <row r="52">
      <c r="A52" s="6" t="inlineStr">
        <is>
          <t>harvest_20251112_riego_m2_r4</t>
        </is>
      </c>
      <c r="B52" s="13" t="n">
        <v>45973</v>
      </c>
      <c r="C52" s="12" t="n">
        <v>200</v>
      </c>
      <c r="D52" s="6" t="inlineStr">
        <is>
          <t>Riego</t>
        </is>
      </c>
      <c r="E52" s="6" t="inlineStr">
        <is>
          <t>M2</t>
        </is>
      </c>
      <c r="F52" s="6" t="inlineStr">
        <is>
          <t>R4</t>
        </is>
      </c>
      <c r="G52" s="14" t="n">
        <v>547</v>
      </c>
      <c r="H52" s="14" t="n">
        <v>131.8</v>
      </c>
      <c r="I52" s="14" t="n">
        <v>106.7</v>
      </c>
      <c r="J52" s="14" t="n">
        <v>0.2012</v>
      </c>
      <c r="K52" s="14" t="n">
        <v>0.2094</v>
      </c>
      <c r="L52" s="14" t="n">
        <v>0.2036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5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  <col width="16" customWidth="1" min="4" max="4"/>
    <col width="13" customWidth="1" min="5" max="5"/>
    <col width="11" customWidth="1" min="6" max="6"/>
    <col width="40" customWidth="1" min="7" max="7"/>
    <col width="33" customWidth="1" min="8" max="8"/>
    <col width="28" customWidth="1" min="9" max="9"/>
    <col width="38" customWidth="1" min="10" max="10"/>
    <col width="38" customWidth="1" min="11" max="11"/>
    <col width="38" customWidth="1" min="12" max="12"/>
    <col width="35" customWidth="1" min="13" max="13"/>
    <col width="26" customWidth="1" min="14" max="14"/>
    <col width="34" customWidth="1" min="15" max="15"/>
    <col width="33" customWidth="1" min="16" max="16"/>
    <col width="28" customWidth="1" min="17" max="17"/>
    <col width="39" customWidth="1" min="18" max="18"/>
    <col width="23" customWidth="1" min="19" max="19"/>
    <col width="40" customWidth="1" min="20" max="20"/>
    <col width="42" customWidth="1" min="21" max="21"/>
    <col width="23" customWidth="1" min="22" max="22"/>
  </cols>
  <sheetData>
    <row r="1" ht="25" customHeight="1">
      <c r="A1" s="15" t="inlineStr">
        <is>
          <t>Cosecha calculada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</row>
    <row r="2" ht="31" customHeight="1">
      <c r="A2" s="17" t="inlineStr">
        <is>
          <t>Una fila calculada por parcela cosechada. Origen canónico: harvest_calculated.csv. Rol: calculado.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</row>
    <row r="4" ht="38" customHeight="1">
      <c r="A4" s="19" t="inlineStr">
        <is>
          <t>Identificador de observación</t>
        </is>
      </c>
      <c r="B4" s="19" t="inlineStr">
        <is>
          <t>Fecha</t>
        </is>
      </c>
      <c r="C4" s="19" t="inlineStr">
        <is>
          <t>Muestra</t>
        </is>
      </c>
      <c r="D4" s="19" t="inlineStr">
        <is>
          <t>Sector hídrico</t>
        </is>
      </c>
      <c r="E4" s="19" t="inlineStr">
        <is>
          <t>Tratamiento</t>
        </is>
      </c>
      <c r="F4" s="19" t="inlineStr">
        <is>
          <t>Bloque</t>
        </is>
      </c>
      <c r="G4" s="19" t="inlineStr">
        <is>
          <t>Panojas en el área cosechada (panojas)</t>
        </is>
      </c>
      <c r="H4" s="19" t="inlineStr">
        <is>
          <t>Peso de semilla sin limpiar (g)</t>
        </is>
      </c>
      <c r="I4" s="19" t="inlineStr">
        <is>
          <t>Peso de semilla limpia (g)</t>
        </is>
      </c>
      <c r="J4" s="19" t="inlineStr">
        <is>
          <t>Peso de 100 semillas - réplica 1 (g)</t>
        </is>
      </c>
      <c r="K4" s="19" t="inlineStr">
        <is>
          <t>Peso de 100 semillas - réplica 2 (g)</t>
        </is>
      </c>
      <c r="L4" s="19" t="inlineStr">
        <is>
          <t>Peso de 100 semillas - réplica 3 (g)</t>
        </is>
      </c>
      <c r="M4" s="19" t="inlineStr">
        <is>
          <t>Biomasa final enlazada (kg MS/ha)</t>
        </is>
      </c>
      <c r="N4" s="19" t="inlineStr">
        <is>
          <t>Peso de mil semillas (g)</t>
        </is>
      </c>
      <c r="O4" s="19" t="inlineStr">
        <is>
          <t>Densidad de panojas (panojas/m2)</t>
        </is>
      </c>
      <c r="P4" s="19" t="inlineStr">
        <is>
          <t>Rendimiento sin limpiar (kg/ha)</t>
        </is>
      </c>
      <c r="Q4" s="19" t="inlineStr">
        <is>
          <t>Rendimiento limpio (kg/ha)</t>
        </is>
      </c>
      <c r="R4" s="19" t="inlineStr">
        <is>
          <t>Recuperación de limpieza (proporción)</t>
        </is>
      </c>
      <c r="S4" s="19" t="inlineStr">
        <is>
          <t>Merma de limpieza (%)</t>
        </is>
      </c>
      <c r="T4" s="19" t="inlineStr">
        <is>
          <t>Número estimado de semillas (semillas)</t>
        </is>
      </c>
      <c r="U4" s="19" t="inlineStr">
        <is>
          <t>Semillas estimadas por panoja (semillas/panoja)</t>
        </is>
      </c>
      <c r="V4" s="19" t="inlineStr">
        <is>
          <t>Índice de cosecha (%)</t>
        </is>
      </c>
    </row>
    <row r="5">
      <c r="A5" s="6" t="inlineStr">
        <is>
          <t>harvest_20251112_secano_m0_r1</t>
        </is>
      </c>
      <c r="B5" s="13">
        <f>INDEX(tblCosechaRegistrada[Fecha],MATCH(tblCosechaCalculada[[#This Row],[Identificador de observación]],tblCosechaRegistrada[Identificador de observación],0))</f>
        <v/>
      </c>
      <c r="C5" s="12">
        <f>INDEX(tblCosechaRegistrada[Muestra],MATCH(tblCosechaCalculada[[#This Row],[Identificador de observación]],tblCosechaRegistrada[Identificador de observación],0))</f>
        <v/>
      </c>
      <c r="D5" s="6">
        <f>INDEX(tblCosechaRegistrada[Sector hídrico],MATCH(tblCosechaCalculada[[#This Row],[Identificador de observación]],tblCosechaRegistrada[Identificador de observación],0))</f>
        <v/>
      </c>
      <c r="E5" s="6">
        <f>INDEX(tblCosechaRegistrada[Tratamiento],MATCH(tblCosechaCalculada[[#This Row],[Identificador de observación]],tblCosechaRegistrada[Identificador de observación],0))</f>
        <v/>
      </c>
      <c r="F5" s="6">
        <f>INDEX(tblCosechaRegistrada[Bloque],MATCH(tblCosechaCalculada[[#This Row],[Identificador de observación]],tblCosechaRegistrada[Identificador de observación],0))</f>
        <v/>
      </c>
      <c r="G5" s="14">
        <f>INDEX(tblCosechaRegistrada[Panojas en el área cosechada (panojas)],MATCH(tblCosechaCalculada[[#This Row],[Identificador de observación]],tblCosechaRegistrada[Identificador de observación],0))</f>
        <v/>
      </c>
      <c r="H5" s="14">
        <f>INDEX(tblCosechaRegistrada[Peso de semilla sin limpiar (g)],MATCH(tblCosechaCalculada[[#This Row],[Identificador de observación]],tblCosechaRegistrada[Identificador de observación],0))</f>
        <v/>
      </c>
      <c r="I5" s="14">
        <f>INDEX(tblCosechaRegistrada[Peso de semilla limpia (g)],MATCH(tblCosechaCalculada[[#This Row],[Identificador de observación]],tblCosechaRegistrada[Identificador de observación],0))</f>
        <v/>
      </c>
      <c r="J5" s="14">
        <f>INDEX(tblCosechaRegistrada[Peso de 100 semillas - réplica 1 (g)],MATCH(tblCosechaCalculada[[#This Row],[Identificador de observación]],tblCosechaRegistrada[Identificador de observación],0))</f>
        <v/>
      </c>
      <c r="K5" s="14">
        <f>INDEX(tblCosechaRegistrada[Peso de 100 semillas - réplica 2 (g)],MATCH(tblCosechaCalculada[[#This Row],[Identificador de observación]],tblCosechaRegistrada[Identificador de observación],0))</f>
        <v/>
      </c>
      <c r="L5" s="14">
        <f>INDEX(tblCosechaRegistrada[Peso de 100 semillas - réplica 3 (g)],MATCH(tblCosechaCalculada[[#This Row],[Identificador de observación]],tblCosechaRegistrada[Identificador de observación],0))</f>
        <v/>
      </c>
      <c r="M5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5" s="14">
        <f>AVERAGE(tblCosechaCalculada[[#This Row],[Peso de 100 semillas - réplica 1 (g)]:[Peso de 100 semillas - réplica 3 (g)]])*10</f>
        <v/>
      </c>
      <c r="O5" s="14">
        <f>tblCosechaCalculada[[#This Row],[Panojas en el área cosechada (panojas)]]/INDEX(tblMetadatos[Valor],MATCH("harvest_sample_area_m2",tblMetadatos[Parámetro],0))</f>
        <v/>
      </c>
      <c r="P5" s="14">
        <f>tblCosechaCalculada[[#This Row],[Peso de semilla sin limpiar (g)]]*10/INDEX(tblMetadatos[Valor],MATCH("harvest_sample_area_m2",tblMetadatos[Parámetro],0))</f>
        <v/>
      </c>
      <c r="Q5" s="14">
        <f>tblCosechaCalculada[[#This Row],[Peso de semilla limpia (g)]]*10/INDEX(tblMetadatos[Valor],MATCH("harvest_sample_area_m2",tblMetadatos[Parámetro],0))</f>
        <v/>
      </c>
      <c r="R5" s="14">
        <f>tblCosechaCalculada[[#This Row],[Peso de semilla limpia (g)]]/tblCosechaCalculada[[#This Row],[Peso de semilla sin limpiar (g)]]</f>
        <v/>
      </c>
      <c r="S5" s="14">
        <f>100*(1-tblCosechaCalculada[[#This Row],[Recuperación de limpieza (proporción)]])</f>
        <v/>
      </c>
      <c r="T5" s="14">
        <f>1000*tblCosechaCalculada[[#This Row],[Peso de semilla limpia (g)]]/tblCosechaCalculada[[#This Row],[Peso de mil semillas (g)]]</f>
        <v/>
      </c>
      <c r="U5" s="14">
        <f>tblCosechaCalculada[[#This Row],[Número estimado de semillas (semillas)]]/tblCosechaCalculada[[#This Row],[Panojas en el área cosechada (panojas)]]</f>
        <v/>
      </c>
      <c r="V5" s="14">
        <f>100*tblCosechaCalculada[[#This Row],[Rendimiento limpio (kg/ha)]]/tblCosechaCalculada[[#This Row],[Biomasa final enlazada (kg MS/ha)]]</f>
        <v/>
      </c>
    </row>
    <row r="6">
      <c r="A6" s="6" t="inlineStr">
        <is>
          <t>harvest_20251112_secano_m1_r1</t>
        </is>
      </c>
      <c r="B6" s="13">
        <f>INDEX(tblCosechaRegistrada[Fecha],MATCH(tblCosechaCalculada[[#This Row],[Identificador de observación]],tblCosechaRegistrada[Identificador de observación],0))</f>
        <v/>
      </c>
      <c r="C6" s="12">
        <f>INDEX(tblCosechaRegistrada[Muestra],MATCH(tblCosechaCalculada[[#This Row],[Identificador de observación]],tblCosechaRegistrada[Identificador de observación],0))</f>
        <v/>
      </c>
      <c r="D6" s="6">
        <f>INDEX(tblCosechaRegistrada[Sector hídrico],MATCH(tblCosechaCalculada[[#This Row],[Identificador de observación]],tblCosechaRegistrada[Identificador de observación],0))</f>
        <v/>
      </c>
      <c r="E6" s="6">
        <f>INDEX(tblCosechaRegistrada[Tratamiento],MATCH(tblCosechaCalculada[[#This Row],[Identificador de observación]],tblCosechaRegistrada[Identificador de observación],0))</f>
        <v/>
      </c>
      <c r="F6" s="6">
        <f>INDEX(tblCosechaRegistrada[Bloque],MATCH(tblCosechaCalculada[[#This Row],[Identificador de observación]],tblCosechaRegistrada[Identificador de observación],0))</f>
        <v/>
      </c>
      <c r="G6" s="14">
        <f>INDEX(tblCosechaRegistrada[Panojas en el área cosechada (panojas)],MATCH(tblCosechaCalculada[[#This Row],[Identificador de observación]],tblCosechaRegistrada[Identificador de observación],0))</f>
        <v/>
      </c>
      <c r="H6" s="14">
        <f>INDEX(tblCosechaRegistrada[Peso de semilla sin limpiar (g)],MATCH(tblCosechaCalculada[[#This Row],[Identificador de observación]],tblCosechaRegistrada[Identificador de observación],0))</f>
        <v/>
      </c>
      <c r="I6" s="14">
        <f>INDEX(tblCosechaRegistrada[Peso de semilla limpia (g)],MATCH(tblCosechaCalculada[[#This Row],[Identificador de observación]],tblCosechaRegistrada[Identificador de observación],0))</f>
        <v/>
      </c>
      <c r="J6" s="14">
        <f>INDEX(tblCosechaRegistrada[Peso de 100 semillas - réplica 1 (g)],MATCH(tblCosechaCalculada[[#This Row],[Identificador de observación]],tblCosechaRegistrada[Identificador de observación],0))</f>
        <v/>
      </c>
      <c r="K6" s="14">
        <f>INDEX(tblCosechaRegistrada[Peso de 100 semillas - réplica 2 (g)],MATCH(tblCosechaCalculada[[#This Row],[Identificador de observación]],tblCosechaRegistrada[Identificador de observación],0))</f>
        <v/>
      </c>
      <c r="L6" s="14">
        <f>INDEX(tblCosechaRegistrada[Peso de 100 semillas - réplica 3 (g)],MATCH(tblCosechaCalculada[[#This Row],[Identificador de observación]],tblCosechaRegistrada[Identificador de observación],0))</f>
        <v/>
      </c>
      <c r="M6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6" s="14">
        <f>AVERAGE(tblCosechaCalculada[[#This Row],[Peso de 100 semillas - réplica 1 (g)]:[Peso de 100 semillas - réplica 3 (g)]])*10</f>
        <v/>
      </c>
      <c r="O6" s="14">
        <f>tblCosechaCalculada[[#This Row],[Panojas en el área cosechada (panojas)]]/INDEX(tblMetadatos[Valor],MATCH("harvest_sample_area_m2",tblMetadatos[Parámetro],0))</f>
        <v/>
      </c>
      <c r="P6" s="14">
        <f>tblCosechaCalculada[[#This Row],[Peso de semilla sin limpiar (g)]]*10/INDEX(tblMetadatos[Valor],MATCH("harvest_sample_area_m2",tblMetadatos[Parámetro],0))</f>
        <v/>
      </c>
      <c r="Q6" s="14">
        <f>tblCosechaCalculada[[#This Row],[Peso de semilla limpia (g)]]*10/INDEX(tblMetadatos[Valor],MATCH("harvest_sample_area_m2",tblMetadatos[Parámetro],0))</f>
        <v/>
      </c>
      <c r="R6" s="14">
        <f>tblCosechaCalculada[[#This Row],[Peso de semilla limpia (g)]]/tblCosechaCalculada[[#This Row],[Peso de semilla sin limpiar (g)]]</f>
        <v/>
      </c>
      <c r="S6" s="14">
        <f>100*(1-tblCosechaCalculada[[#This Row],[Recuperación de limpieza (proporción)]])</f>
        <v/>
      </c>
      <c r="T6" s="14">
        <f>1000*tblCosechaCalculada[[#This Row],[Peso de semilla limpia (g)]]/tblCosechaCalculada[[#This Row],[Peso de mil semillas (g)]]</f>
        <v/>
      </c>
      <c r="U6" s="14">
        <f>tblCosechaCalculada[[#This Row],[Número estimado de semillas (semillas)]]/tblCosechaCalculada[[#This Row],[Panojas en el área cosechada (panojas)]]</f>
        <v/>
      </c>
      <c r="V6" s="14">
        <f>100*tblCosechaCalculada[[#This Row],[Rendimiento limpio (kg/ha)]]/tblCosechaCalculada[[#This Row],[Biomasa final enlazada (kg MS/ha)]]</f>
        <v/>
      </c>
    </row>
    <row r="7">
      <c r="A7" s="6" t="inlineStr">
        <is>
          <t>harvest_20251112_secano_m2_r1</t>
        </is>
      </c>
      <c r="B7" s="13">
        <f>INDEX(tblCosechaRegistrada[Fecha],MATCH(tblCosechaCalculada[[#This Row],[Identificador de observación]],tblCosechaRegistrada[Identificador de observación],0))</f>
        <v/>
      </c>
      <c r="C7" s="12">
        <f>INDEX(tblCosechaRegistrada[Muestra],MATCH(tblCosechaCalculada[[#This Row],[Identificador de observación]],tblCosechaRegistrada[Identificador de observación],0))</f>
        <v/>
      </c>
      <c r="D7" s="6">
        <f>INDEX(tblCosechaRegistrada[Sector hídrico],MATCH(tblCosechaCalculada[[#This Row],[Identificador de observación]],tblCosechaRegistrada[Identificador de observación],0))</f>
        <v/>
      </c>
      <c r="E7" s="6">
        <f>INDEX(tblCosechaRegistrada[Tratamiento],MATCH(tblCosechaCalculada[[#This Row],[Identificador de observación]],tblCosechaRegistrada[Identificador de observación],0))</f>
        <v/>
      </c>
      <c r="F7" s="6">
        <f>INDEX(tblCosechaRegistrada[Bloque],MATCH(tblCosechaCalculada[[#This Row],[Identificador de observación]],tblCosechaRegistrada[Identificador de observación],0))</f>
        <v/>
      </c>
      <c r="G7" s="14">
        <f>INDEX(tblCosechaRegistrada[Panojas en el área cosechada (panojas)],MATCH(tblCosechaCalculada[[#This Row],[Identificador de observación]],tblCosechaRegistrada[Identificador de observación],0))</f>
        <v/>
      </c>
      <c r="H7" s="14">
        <f>INDEX(tblCosechaRegistrada[Peso de semilla sin limpiar (g)],MATCH(tblCosechaCalculada[[#This Row],[Identificador de observación]],tblCosechaRegistrada[Identificador de observación],0))</f>
        <v/>
      </c>
      <c r="I7" s="14">
        <f>INDEX(tblCosechaRegistrada[Peso de semilla limpia (g)],MATCH(tblCosechaCalculada[[#This Row],[Identificador de observación]],tblCosechaRegistrada[Identificador de observación],0))</f>
        <v/>
      </c>
      <c r="J7" s="14">
        <f>INDEX(tblCosechaRegistrada[Peso de 100 semillas - réplica 1 (g)],MATCH(tblCosechaCalculada[[#This Row],[Identificador de observación]],tblCosechaRegistrada[Identificador de observación],0))</f>
        <v/>
      </c>
      <c r="K7" s="14">
        <f>INDEX(tblCosechaRegistrada[Peso de 100 semillas - réplica 2 (g)],MATCH(tblCosechaCalculada[[#This Row],[Identificador de observación]],tblCosechaRegistrada[Identificador de observación],0))</f>
        <v/>
      </c>
      <c r="L7" s="14">
        <f>INDEX(tblCosechaRegistrada[Peso de 100 semillas - réplica 3 (g)],MATCH(tblCosechaCalculada[[#This Row],[Identificador de observación]],tblCosechaRegistrada[Identificador de observación],0))</f>
        <v/>
      </c>
      <c r="M7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7" s="14">
        <f>AVERAGE(tblCosechaCalculada[[#This Row],[Peso de 100 semillas - réplica 1 (g)]:[Peso de 100 semillas - réplica 3 (g)]])*10</f>
        <v/>
      </c>
      <c r="O7" s="14">
        <f>tblCosechaCalculada[[#This Row],[Panojas en el área cosechada (panojas)]]/INDEX(tblMetadatos[Valor],MATCH("harvest_sample_area_m2",tblMetadatos[Parámetro],0))</f>
        <v/>
      </c>
      <c r="P7" s="14">
        <f>tblCosechaCalculada[[#This Row],[Peso de semilla sin limpiar (g)]]*10/INDEX(tblMetadatos[Valor],MATCH("harvest_sample_area_m2",tblMetadatos[Parámetro],0))</f>
        <v/>
      </c>
      <c r="Q7" s="14">
        <f>tblCosechaCalculada[[#This Row],[Peso de semilla limpia (g)]]*10/INDEX(tblMetadatos[Valor],MATCH("harvest_sample_area_m2",tblMetadatos[Parámetro],0))</f>
        <v/>
      </c>
      <c r="R7" s="14">
        <f>tblCosechaCalculada[[#This Row],[Peso de semilla limpia (g)]]/tblCosechaCalculada[[#This Row],[Peso de semilla sin limpiar (g)]]</f>
        <v/>
      </c>
      <c r="S7" s="14">
        <f>100*(1-tblCosechaCalculada[[#This Row],[Recuperación de limpieza (proporción)]])</f>
        <v/>
      </c>
      <c r="T7" s="14">
        <f>1000*tblCosechaCalculada[[#This Row],[Peso de semilla limpia (g)]]/tblCosechaCalculada[[#This Row],[Peso de mil semillas (g)]]</f>
        <v/>
      </c>
      <c r="U7" s="14">
        <f>tblCosechaCalculada[[#This Row],[Número estimado de semillas (semillas)]]/tblCosechaCalculada[[#This Row],[Panojas en el área cosechada (panojas)]]</f>
        <v/>
      </c>
      <c r="V7" s="14">
        <f>100*tblCosechaCalculada[[#This Row],[Rendimiento limpio (kg/ha)]]/tblCosechaCalculada[[#This Row],[Biomasa final enlazada (kg MS/ha)]]</f>
        <v/>
      </c>
    </row>
    <row r="8">
      <c r="A8" s="6" t="inlineStr">
        <is>
          <t>harvest_20251112_secano_m3_r1</t>
        </is>
      </c>
      <c r="B8" s="13">
        <f>INDEX(tblCosechaRegistrada[Fecha],MATCH(tblCosechaCalculada[[#This Row],[Identificador de observación]],tblCosechaRegistrada[Identificador de observación],0))</f>
        <v/>
      </c>
      <c r="C8" s="12">
        <f>INDEX(tblCosechaRegistrada[Muestra],MATCH(tblCosechaCalculada[[#This Row],[Identificador de observación]],tblCosechaRegistrada[Identificador de observación],0))</f>
        <v/>
      </c>
      <c r="D8" s="6">
        <f>INDEX(tblCosechaRegistrada[Sector hídrico],MATCH(tblCosechaCalculada[[#This Row],[Identificador de observación]],tblCosechaRegistrada[Identificador de observación],0))</f>
        <v/>
      </c>
      <c r="E8" s="6">
        <f>INDEX(tblCosechaRegistrada[Tratamiento],MATCH(tblCosechaCalculada[[#This Row],[Identificador de observación]],tblCosechaRegistrada[Identificador de observación],0))</f>
        <v/>
      </c>
      <c r="F8" s="6">
        <f>INDEX(tblCosechaRegistrada[Bloque],MATCH(tblCosechaCalculada[[#This Row],[Identificador de observación]],tblCosechaRegistrada[Identificador de observación],0))</f>
        <v/>
      </c>
      <c r="G8" s="14">
        <f>INDEX(tblCosechaRegistrada[Panojas en el área cosechada (panojas)],MATCH(tblCosechaCalculada[[#This Row],[Identificador de observación]],tblCosechaRegistrada[Identificador de observación],0))</f>
        <v/>
      </c>
      <c r="H8" s="14">
        <f>INDEX(tblCosechaRegistrada[Peso de semilla sin limpiar (g)],MATCH(tblCosechaCalculada[[#This Row],[Identificador de observación]],tblCosechaRegistrada[Identificador de observación],0))</f>
        <v/>
      </c>
      <c r="I8" s="14">
        <f>INDEX(tblCosechaRegistrada[Peso de semilla limpia (g)],MATCH(tblCosechaCalculada[[#This Row],[Identificador de observación]],tblCosechaRegistrada[Identificador de observación],0))</f>
        <v/>
      </c>
      <c r="J8" s="14">
        <f>INDEX(tblCosechaRegistrada[Peso de 100 semillas - réplica 1 (g)],MATCH(tblCosechaCalculada[[#This Row],[Identificador de observación]],tblCosechaRegistrada[Identificador de observación],0))</f>
        <v/>
      </c>
      <c r="K8" s="14">
        <f>INDEX(tblCosechaRegistrada[Peso de 100 semillas - réplica 2 (g)],MATCH(tblCosechaCalculada[[#This Row],[Identificador de observación]],tblCosechaRegistrada[Identificador de observación],0))</f>
        <v/>
      </c>
      <c r="L8" s="14">
        <f>INDEX(tblCosechaRegistrada[Peso de 100 semillas - réplica 3 (g)],MATCH(tblCosechaCalculada[[#This Row],[Identificador de observación]],tblCosechaRegistrada[Identificador de observación],0))</f>
        <v/>
      </c>
      <c r="M8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8" s="14">
        <f>AVERAGE(tblCosechaCalculada[[#This Row],[Peso de 100 semillas - réplica 1 (g)]:[Peso de 100 semillas - réplica 3 (g)]])*10</f>
        <v/>
      </c>
      <c r="O8" s="14">
        <f>tblCosechaCalculada[[#This Row],[Panojas en el área cosechada (panojas)]]/INDEX(tblMetadatos[Valor],MATCH("harvest_sample_area_m2",tblMetadatos[Parámetro],0))</f>
        <v/>
      </c>
      <c r="P8" s="14">
        <f>tblCosechaCalculada[[#This Row],[Peso de semilla sin limpiar (g)]]*10/INDEX(tblMetadatos[Valor],MATCH("harvest_sample_area_m2",tblMetadatos[Parámetro],0))</f>
        <v/>
      </c>
      <c r="Q8" s="14">
        <f>tblCosechaCalculada[[#This Row],[Peso de semilla limpia (g)]]*10/INDEX(tblMetadatos[Valor],MATCH("harvest_sample_area_m2",tblMetadatos[Parámetro],0))</f>
        <v/>
      </c>
      <c r="R8" s="14">
        <f>tblCosechaCalculada[[#This Row],[Peso de semilla limpia (g)]]/tblCosechaCalculada[[#This Row],[Peso de semilla sin limpiar (g)]]</f>
        <v/>
      </c>
      <c r="S8" s="14">
        <f>100*(1-tblCosechaCalculada[[#This Row],[Recuperación de limpieza (proporción)]])</f>
        <v/>
      </c>
      <c r="T8" s="14">
        <f>1000*tblCosechaCalculada[[#This Row],[Peso de semilla limpia (g)]]/tblCosechaCalculada[[#This Row],[Peso de mil semillas (g)]]</f>
        <v/>
      </c>
      <c r="U8" s="14">
        <f>tblCosechaCalculada[[#This Row],[Número estimado de semillas (semillas)]]/tblCosechaCalculada[[#This Row],[Panojas en el área cosechada (panojas)]]</f>
        <v/>
      </c>
      <c r="V8" s="14">
        <f>100*tblCosechaCalculada[[#This Row],[Rendimiento limpio (kg/ha)]]/tblCosechaCalculada[[#This Row],[Biomasa final enlazada (kg MS/ha)]]</f>
        <v/>
      </c>
    </row>
    <row r="9">
      <c r="A9" s="6" t="inlineStr">
        <is>
          <t>harvest_20251112_secano_m4_r1</t>
        </is>
      </c>
      <c r="B9" s="13">
        <f>INDEX(tblCosechaRegistrada[Fecha],MATCH(tblCosechaCalculada[[#This Row],[Identificador de observación]],tblCosechaRegistrada[Identificador de observación],0))</f>
        <v/>
      </c>
      <c r="C9" s="12">
        <f>INDEX(tblCosechaRegistrada[Muestra],MATCH(tblCosechaCalculada[[#This Row],[Identificador de observación]],tblCosechaRegistrada[Identificador de observación],0))</f>
        <v/>
      </c>
      <c r="D9" s="6">
        <f>INDEX(tblCosechaRegistrada[Sector hídrico],MATCH(tblCosechaCalculada[[#This Row],[Identificador de observación]],tblCosechaRegistrada[Identificador de observación],0))</f>
        <v/>
      </c>
      <c r="E9" s="6">
        <f>INDEX(tblCosechaRegistrada[Tratamiento],MATCH(tblCosechaCalculada[[#This Row],[Identificador de observación]],tblCosechaRegistrada[Identificador de observación],0))</f>
        <v/>
      </c>
      <c r="F9" s="6">
        <f>INDEX(tblCosechaRegistrada[Bloque],MATCH(tblCosechaCalculada[[#This Row],[Identificador de observación]],tblCosechaRegistrada[Identificador de observación],0))</f>
        <v/>
      </c>
      <c r="G9" s="14">
        <f>INDEX(tblCosechaRegistrada[Panojas en el área cosechada (panojas)],MATCH(tblCosechaCalculada[[#This Row],[Identificador de observación]],tblCosechaRegistrada[Identificador de observación],0))</f>
        <v/>
      </c>
      <c r="H9" s="14">
        <f>INDEX(tblCosechaRegistrada[Peso de semilla sin limpiar (g)],MATCH(tblCosechaCalculada[[#This Row],[Identificador de observación]],tblCosechaRegistrada[Identificador de observación],0))</f>
        <v/>
      </c>
      <c r="I9" s="14">
        <f>INDEX(tblCosechaRegistrada[Peso de semilla limpia (g)],MATCH(tblCosechaCalculada[[#This Row],[Identificador de observación]],tblCosechaRegistrada[Identificador de observación],0))</f>
        <v/>
      </c>
      <c r="J9" s="14">
        <f>INDEX(tblCosechaRegistrada[Peso de 100 semillas - réplica 1 (g)],MATCH(tblCosechaCalculada[[#This Row],[Identificador de observación]],tblCosechaRegistrada[Identificador de observación],0))</f>
        <v/>
      </c>
      <c r="K9" s="14">
        <f>INDEX(tblCosechaRegistrada[Peso de 100 semillas - réplica 2 (g)],MATCH(tblCosechaCalculada[[#This Row],[Identificador de observación]],tblCosechaRegistrada[Identificador de observación],0))</f>
        <v/>
      </c>
      <c r="L9" s="14">
        <f>INDEX(tblCosechaRegistrada[Peso de 100 semillas - réplica 3 (g)],MATCH(tblCosechaCalculada[[#This Row],[Identificador de observación]],tblCosechaRegistrada[Identificador de observación],0))</f>
        <v/>
      </c>
      <c r="M9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9" s="14">
        <f>AVERAGE(tblCosechaCalculada[[#This Row],[Peso de 100 semillas - réplica 1 (g)]:[Peso de 100 semillas - réplica 3 (g)]])*10</f>
        <v/>
      </c>
      <c r="O9" s="14">
        <f>tblCosechaCalculada[[#This Row],[Panojas en el área cosechada (panojas)]]/INDEX(tblMetadatos[Valor],MATCH("harvest_sample_area_m2",tblMetadatos[Parámetro],0))</f>
        <v/>
      </c>
      <c r="P9" s="14">
        <f>tblCosechaCalculada[[#This Row],[Peso de semilla sin limpiar (g)]]*10/INDEX(tblMetadatos[Valor],MATCH("harvest_sample_area_m2",tblMetadatos[Parámetro],0))</f>
        <v/>
      </c>
      <c r="Q9" s="14">
        <f>tblCosechaCalculada[[#This Row],[Peso de semilla limpia (g)]]*10/INDEX(tblMetadatos[Valor],MATCH("harvest_sample_area_m2",tblMetadatos[Parámetro],0))</f>
        <v/>
      </c>
      <c r="R9" s="14">
        <f>tblCosechaCalculada[[#This Row],[Peso de semilla limpia (g)]]/tblCosechaCalculada[[#This Row],[Peso de semilla sin limpiar (g)]]</f>
        <v/>
      </c>
      <c r="S9" s="14">
        <f>100*(1-tblCosechaCalculada[[#This Row],[Recuperación de limpieza (proporción)]])</f>
        <v/>
      </c>
      <c r="T9" s="14">
        <f>1000*tblCosechaCalculada[[#This Row],[Peso de semilla limpia (g)]]/tblCosechaCalculada[[#This Row],[Peso de mil semillas (g)]]</f>
        <v/>
      </c>
      <c r="U9" s="14">
        <f>tblCosechaCalculada[[#This Row],[Número estimado de semillas (semillas)]]/tblCosechaCalculada[[#This Row],[Panojas en el área cosechada (panojas)]]</f>
        <v/>
      </c>
      <c r="V9" s="14">
        <f>100*tblCosechaCalculada[[#This Row],[Rendimiento limpio (kg/ha)]]/tblCosechaCalculada[[#This Row],[Biomasa final enlazada (kg MS/ha)]]</f>
        <v/>
      </c>
    </row>
    <row r="10">
      <c r="A10" s="6" t="inlineStr">
        <is>
          <t>harvest_20251112_secano_m5_r1</t>
        </is>
      </c>
      <c r="B10" s="13">
        <f>INDEX(tblCosechaRegistrada[Fecha],MATCH(tblCosechaCalculada[[#This Row],[Identificador de observación]],tblCosechaRegistrada[Identificador de observación],0))</f>
        <v/>
      </c>
      <c r="C10" s="12">
        <f>INDEX(tblCosechaRegistrada[Muestra],MATCH(tblCosechaCalculada[[#This Row],[Identificador de observación]],tblCosechaRegistrada[Identificador de observación],0))</f>
        <v/>
      </c>
      <c r="D10" s="6">
        <f>INDEX(tblCosechaRegistrada[Sector hídrico],MATCH(tblCosechaCalculada[[#This Row],[Identificador de observación]],tblCosechaRegistrada[Identificador de observación],0))</f>
        <v/>
      </c>
      <c r="E10" s="6">
        <f>INDEX(tblCosechaRegistrada[Tratamiento],MATCH(tblCosechaCalculada[[#This Row],[Identificador de observación]],tblCosechaRegistrada[Identificador de observación],0))</f>
        <v/>
      </c>
      <c r="F10" s="6">
        <f>INDEX(tblCosechaRegistrada[Bloque],MATCH(tblCosechaCalculada[[#This Row],[Identificador de observación]],tblCosechaRegistrada[Identificador de observación],0))</f>
        <v/>
      </c>
      <c r="G10" s="14">
        <f>INDEX(tblCosechaRegistrada[Panojas en el área cosechada (panojas)],MATCH(tblCosechaCalculada[[#This Row],[Identificador de observación]],tblCosechaRegistrada[Identificador de observación],0))</f>
        <v/>
      </c>
      <c r="H10" s="14">
        <f>INDEX(tblCosechaRegistrada[Peso de semilla sin limpiar (g)],MATCH(tblCosechaCalculada[[#This Row],[Identificador de observación]],tblCosechaRegistrada[Identificador de observación],0))</f>
        <v/>
      </c>
      <c r="I10" s="14">
        <f>INDEX(tblCosechaRegistrada[Peso de semilla limpia (g)],MATCH(tblCosechaCalculada[[#This Row],[Identificador de observación]],tblCosechaRegistrada[Identificador de observación],0))</f>
        <v/>
      </c>
      <c r="J10" s="14">
        <f>INDEX(tblCosechaRegistrada[Peso de 100 semillas - réplica 1 (g)],MATCH(tblCosechaCalculada[[#This Row],[Identificador de observación]],tblCosechaRegistrada[Identificador de observación],0))</f>
        <v/>
      </c>
      <c r="K10" s="14">
        <f>INDEX(tblCosechaRegistrada[Peso de 100 semillas - réplica 2 (g)],MATCH(tblCosechaCalculada[[#This Row],[Identificador de observación]],tblCosechaRegistrada[Identificador de observación],0))</f>
        <v/>
      </c>
      <c r="L10" s="14">
        <f>INDEX(tblCosechaRegistrada[Peso de 100 semillas - réplica 3 (g)],MATCH(tblCosechaCalculada[[#This Row],[Identificador de observación]],tblCosechaRegistrada[Identificador de observación],0))</f>
        <v/>
      </c>
      <c r="M10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10" s="14">
        <f>AVERAGE(tblCosechaCalculada[[#This Row],[Peso de 100 semillas - réplica 1 (g)]:[Peso de 100 semillas - réplica 3 (g)]])*10</f>
        <v/>
      </c>
      <c r="O10" s="14">
        <f>tblCosechaCalculada[[#This Row],[Panojas en el área cosechada (panojas)]]/INDEX(tblMetadatos[Valor],MATCH("harvest_sample_area_m2",tblMetadatos[Parámetro],0))</f>
        <v/>
      </c>
      <c r="P10" s="14">
        <f>tblCosechaCalculada[[#This Row],[Peso de semilla sin limpiar (g)]]*10/INDEX(tblMetadatos[Valor],MATCH("harvest_sample_area_m2",tblMetadatos[Parámetro],0))</f>
        <v/>
      </c>
      <c r="Q10" s="14">
        <f>tblCosechaCalculada[[#This Row],[Peso de semilla limpia (g)]]*10/INDEX(tblMetadatos[Valor],MATCH("harvest_sample_area_m2",tblMetadatos[Parámetro],0))</f>
        <v/>
      </c>
      <c r="R10" s="14">
        <f>tblCosechaCalculada[[#This Row],[Peso de semilla limpia (g)]]/tblCosechaCalculada[[#This Row],[Peso de semilla sin limpiar (g)]]</f>
        <v/>
      </c>
      <c r="S10" s="14">
        <f>100*(1-tblCosechaCalculada[[#This Row],[Recuperación de limpieza (proporción)]])</f>
        <v/>
      </c>
      <c r="T10" s="14">
        <f>1000*tblCosechaCalculada[[#This Row],[Peso de semilla limpia (g)]]/tblCosechaCalculada[[#This Row],[Peso de mil semillas (g)]]</f>
        <v/>
      </c>
      <c r="U10" s="14">
        <f>tblCosechaCalculada[[#This Row],[Número estimado de semillas (semillas)]]/tblCosechaCalculada[[#This Row],[Panojas en el área cosechada (panojas)]]</f>
        <v/>
      </c>
      <c r="V10" s="14">
        <f>100*tblCosechaCalculada[[#This Row],[Rendimiento limpio (kg/ha)]]/tblCosechaCalculada[[#This Row],[Biomasa final enlazada (kg MS/ha)]]</f>
        <v/>
      </c>
    </row>
    <row r="11">
      <c r="A11" s="6" t="inlineStr">
        <is>
          <t>harvest_20251112_secano_m3_r2</t>
        </is>
      </c>
      <c r="B11" s="13">
        <f>INDEX(tblCosechaRegistrada[Fecha],MATCH(tblCosechaCalculada[[#This Row],[Identificador de observación]],tblCosechaRegistrada[Identificador de observación],0))</f>
        <v/>
      </c>
      <c r="C11" s="12">
        <f>INDEX(tblCosechaRegistrada[Muestra],MATCH(tblCosechaCalculada[[#This Row],[Identificador de observación]],tblCosechaRegistrada[Identificador de observación],0))</f>
        <v/>
      </c>
      <c r="D11" s="6">
        <f>INDEX(tblCosechaRegistrada[Sector hídrico],MATCH(tblCosechaCalculada[[#This Row],[Identificador de observación]],tblCosechaRegistrada[Identificador de observación],0))</f>
        <v/>
      </c>
      <c r="E11" s="6">
        <f>INDEX(tblCosechaRegistrada[Tratamiento],MATCH(tblCosechaCalculada[[#This Row],[Identificador de observación]],tblCosechaRegistrada[Identificador de observación],0))</f>
        <v/>
      </c>
      <c r="F11" s="6">
        <f>INDEX(tblCosechaRegistrada[Bloque],MATCH(tblCosechaCalculada[[#This Row],[Identificador de observación]],tblCosechaRegistrada[Identificador de observación],0))</f>
        <v/>
      </c>
      <c r="G11" s="14">
        <f>INDEX(tblCosechaRegistrada[Panojas en el área cosechada (panojas)],MATCH(tblCosechaCalculada[[#This Row],[Identificador de observación]],tblCosechaRegistrada[Identificador de observación],0))</f>
        <v/>
      </c>
      <c r="H11" s="14">
        <f>INDEX(tblCosechaRegistrada[Peso de semilla sin limpiar (g)],MATCH(tblCosechaCalculada[[#This Row],[Identificador de observación]],tblCosechaRegistrada[Identificador de observación],0))</f>
        <v/>
      </c>
      <c r="I11" s="14">
        <f>INDEX(tblCosechaRegistrada[Peso de semilla limpia (g)],MATCH(tblCosechaCalculada[[#This Row],[Identificador de observación]],tblCosechaRegistrada[Identificador de observación],0))</f>
        <v/>
      </c>
      <c r="J11" s="14">
        <f>INDEX(tblCosechaRegistrada[Peso de 100 semillas - réplica 1 (g)],MATCH(tblCosechaCalculada[[#This Row],[Identificador de observación]],tblCosechaRegistrada[Identificador de observación],0))</f>
        <v/>
      </c>
      <c r="K11" s="14">
        <f>INDEX(tblCosechaRegistrada[Peso de 100 semillas - réplica 2 (g)],MATCH(tblCosechaCalculada[[#This Row],[Identificador de observación]],tblCosechaRegistrada[Identificador de observación],0))</f>
        <v/>
      </c>
      <c r="L11" s="14">
        <f>INDEX(tblCosechaRegistrada[Peso de 100 semillas - réplica 3 (g)],MATCH(tblCosechaCalculada[[#This Row],[Identificador de observación]],tblCosechaRegistrada[Identificador de observación],0))</f>
        <v/>
      </c>
      <c r="M11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11" s="14">
        <f>AVERAGE(tblCosechaCalculada[[#This Row],[Peso de 100 semillas - réplica 1 (g)]:[Peso de 100 semillas - réplica 3 (g)]])*10</f>
        <v/>
      </c>
      <c r="O11" s="14">
        <f>tblCosechaCalculada[[#This Row],[Panojas en el área cosechada (panojas)]]/INDEX(tblMetadatos[Valor],MATCH("harvest_sample_area_m2",tblMetadatos[Parámetro],0))</f>
        <v/>
      </c>
      <c r="P11" s="14">
        <f>tblCosechaCalculada[[#This Row],[Peso de semilla sin limpiar (g)]]*10/INDEX(tblMetadatos[Valor],MATCH("harvest_sample_area_m2",tblMetadatos[Parámetro],0))</f>
        <v/>
      </c>
      <c r="Q11" s="14">
        <f>tblCosechaCalculada[[#This Row],[Peso de semilla limpia (g)]]*10/INDEX(tblMetadatos[Valor],MATCH("harvest_sample_area_m2",tblMetadatos[Parámetro],0))</f>
        <v/>
      </c>
      <c r="R11" s="14">
        <f>tblCosechaCalculada[[#This Row],[Peso de semilla limpia (g)]]/tblCosechaCalculada[[#This Row],[Peso de semilla sin limpiar (g)]]</f>
        <v/>
      </c>
      <c r="S11" s="14">
        <f>100*(1-tblCosechaCalculada[[#This Row],[Recuperación de limpieza (proporción)]])</f>
        <v/>
      </c>
      <c r="T11" s="14">
        <f>1000*tblCosechaCalculada[[#This Row],[Peso de semilla limpia (g)]]/tblCosechaCalculada[[#This Row],[Peso de mil semillas (g)]]</f>
        <v/>
      </c>
      <c r="U11" s="14">
        <f>tblCosechaCalculada[[#This Row],[Número estimado de semillas (semillas)]]/tblCosechaCalculada[[#This Row],[Panojas en el área cosechada (panojas)]]</f>
        <v/>
      </c>
      <c r="V11" s="14">
        <f>100*tblCosechaCalculada[[#This Row],[Rendimiento limpio (kg/ha)]]/tblCosechaCalculada[[#This Row],[Biomasa final enlazada (kg MS/ha)]]</f>
        <v/>
      </c>
    </row>
    <row r="12">
      <c r="A12" s="6" t="inlineStr">
        <is>
          <t>harvest_20251112_secano_m2_r2</t>
        </is>
      </c>
      <c r="B12" s="13">
        <f>INDEX(tblCosechaRegistrada[Fecha],MATCH(tblCosechaCalculada[[#This Row],[Identificador de observación]],tblCosechaRegistrada[Identificador de observación],0))</f>
        <v/>
      </c>
      <c r="C12" s="12">
        <f>INDEX(tblCosechaRegistrada[Muestra],MATCH(tblCosechaCalculada[[#This Row],[Identificador de observación]],tblCosechaRegistrada[Identificador de observación],0))</f>
        <v/>
      </c>
      <c r="D12" s="6">
        <f>INDEX(tblCosechaRegistrada[Sector hídrico],MATCH(tblCosechaCalculada[[#This Row],[Identificador de observación]],tblCosechaRegistrada[Identificador de observación],0))</f>
        <v/>
      </c>
      <c r="E12" s="6">
        <f>INDEX(tblCosechaRegistrada[Tratamiento],MATCH(tblCosechaCalculada[[#This Row],[Identificador de observación]],tblCosechaRegistrada[Identificador de observación],0))</f>
        <v/>
      </c>
      <c r="F12" s="6">
        <f>INDEX(tblCosechaRegistrada[Bloque],MATCH(tblCosechaCalculada[[#This Row],[Identificador de observación]],tblCosechaRegistrada[Identificador de observación],0))</f>
        <v/>
      </c>
      <c r="G12" s="14">
        <f>INDEX(tblCosechaRegistrada[Panojas en el área cosechada (panojas)],MATCH(tblCosechaCalculada[[#This Row],[Identificador de observación]],tblCosechaRegistrada[Identificador de observación],0))</f>
        <v/>
      </c>
      <c r="H12" s="14">
        <f>INDEX(tblCosechaRegistrada[Peso de semilla sin limpiar (g)],MATCH(tblCosechaCalculada[[#This Row],[Identificador de observación]],tblCosechaRegistrada[Identificador de observación],0))</f>
        <v/>
      </c>
      <c r="I12" s="14">
        <f>INDEX(tblCosechaRegistrada[Peso de semilla limpia (g)],MATCH(tblCosechaCalculada[[#This Row],[Identificador de observación]],tblCosechaRegistrada[Identificador de observación],0))</f>
        <v/>
      </c>
      <c r="J12" s="14">
        <f>INDEX(tblCosechaRegistrada[Peso de 100 semillas - réplica 1 (g)],MATCH(tblCosechaCalculada[[#This Row],[Identificador de observación]],tblCosechaRegistrada[Identificador de observación],0))</f>
        <v/>
      </c>
      <c r="K12" s="14">
        <f>INDEX(tblCosechaRegistrada[Peso de 100 semillas - réplica 2 (g)],MATCH(tblCosechaCalculada[[#This Row],[Identificador de observación]],tblCosechaRegistrada[Identificador de observación],0))</f>
        <v/>
      </c>
      <c r="L12" s="14">
        <f>INDEX(tblCosechaRegistrada[Peso de 100 semillas - réplica 3 (g)],MATCH(tblCosechaCalculada[[#This Row],[Identificador de observación]],tblCosechaRegistrada[Identificador de observación],0))</f>
        <v/>
      </c>
      <c r="M12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12" s="14">
        <f>AVERAGE(tblCosechaCalculada[[#This Row],[Peso de 100 semillas - réplica 1 (g)]:[Peso de 100 semillas - réplica 3 (g)]])*10</f>
        <v/>
      </c>
      <c r="O12" s="14">
        <f>tblCosechaCalculada[[#This Row],[Panojas en el área cosechada (panojas)]]/INDEX(tblMetadatos[Valor],MATCH("harvest_sample_area_m2",tblMetadatos[Parámetro],0))</f>
        <v/>
      </c>
      <c r="P12" s="14">
        <f>tblCosechaCalculada[[#This Row],[Peso de semilla sin limpiar (g)]]*10/INDEX(tblMetadatos[Valor],MATCH("harvest_sample_area_m2",tblMetadatos[Parámetro],0))</f>
        <v/>
      </c>
      <c r="Q12" s="14">
        <f>tblCosechaCalculada[[#This Row],[Peso de semilla limpia (g)]]*10/INDEX(tblMetadatos[Valor],MATCH("harvest_sample_area_m2",tblMetadatos[Parámetro],0))</f>
        <v/>
      </c>
      <c r="R12" s="14">
        <f>tblCosechaCalculada[[#This Row],[Peso de semilla limpia (g)]]/tblCosechaCalculada[[#This Row],[Peso de semilla sin limpiar (g)]]</f>
        <v/>
      </c>
      <c r="S12" s="14">
        <f>100*(1-tblCosechaCalculada[[#This Row],[Recuperación de limpieza (proporción)]])</f>
        <v/>
      </c>
      <c r="T12" s="14">
        <f>1000*tblCosechaCalculada[[#This Row],[Peso de semilla limpia (g)]]/tblCosechaCalculada[[#This Row],[Peso de mil semillas (g)]]</f>
        <v/>
      </c>
      <c r="U12" s="14">
        <f>tblCosechaCalculada[[#This Row],[Número estimado de semillas (semillas)]]/tblCosechaCalculada[[#This Row],[Panojas en el área cosechada (panojas)]]</f>
        <v/>
      </c>
      <c r="V12" s="14">
        <f>100*tblCosechaCalculada[[#This Row],[Rendimiento limpio (kg/ha)]]/tblCosechaCalculada[[#This Row],[Biomasa final enlazada (kg MS/ha)]]</f>
        <v/>
      </c>
    </row>
    <row r="13">
      <c r="A13" s="6" t="inlineStr">
        <is>
          <t>harvest_20251112_secano_m4_r2</t>
        </is>
      </c>
      <c r="B13" s="13">
        <f>INDEX(tblCosechaRegistrada[Fecha],MATCH(tblCosechaCalculada[[#This Row],[Identificador de observación]],tblCosechaRegistrada[Identificador de observación],0))</f>
        <v/>
      </c>
      <c r="C13" s="12">
        <f>INDEX(tblCosechaRegistrada[Muestra],MATCH(tblCosechaCalculada[[#This Row],[Identificador de observación]],tblCosechaRegistrada[Identificador de observación],0))</f>
        <v/>
      </c>
      <c r="D13" s="6">
        <f>INDEX(tblCosechaRegistrada[Sector hídrico],MATCH(tblCosechaCalculada[[#This Row],[Identificador de observación]],tblCosechaRegistrada[Identificador de observación],0))</f>
        <v/>
      </c>
      <c r="E13" s="6">
        <f>INDEX(tblCosechaRegistrada[Tratamiento],MATCH(tblCosechaCalculada[[#This Row],[Identificador de observación]],tblCosechaRegistrada[Identificador de observación],0))</f>
        <v/>
      </c>
      <c r="F13" s="6">
        <f>INDEX(tblCosechaRegistrada[Bloque],MATCH(tblCosechaCalculada[[#This Row],[Identificador de observación]],tblCosechaRegistrada[Identificador de observación],0))</f>
        <v/>
      </c>
      <c r="G13" s="14">
        <f>INDEX(tblCosechaRegistrada[Panojas en el área cosechada (panojas)],MATCH(tblCosechaCalculada[[#This Row],[Identificador de observación]],tblCosechaRegistrada[Identificador de observación],0))</f>
        <v/>
      </c>
      <c r="H13" s="14">
        <f>INDEX(tblCosechaRegistrada[Peso de semilla sin limpiar (g)],MATCH(tblCosechaCalculada[[#This Row],[Identificador de observación]],tblCosechaRegistrada[Identificador de observación],0))</f>
        <v/>
      </c>
      <c r="I13" s="14">
        <f>INDEX(tblCosechaRegistrada[Peso de semilla limpia (g)],MATCH(tblCosechaCalculada[[#This Row],[Identificador de observación]],tblCosechaRegistrada[Identificador de observación],0))</f>
        <v/>
      </c>
      <c r="J13" s="14">
        <f>INDEX(tblCosechaRegistrada[Peso de 100 semillas - réplica 1 (g)],MATCH(tblCosechaCalculada[[#This Row],[Identificador de observación]],tblCosechaRegistrada[Identificador de observación],0))</f>
        <v/>
      </c>
      <c r="K13" s="14">
        <f>INDEX(tblCosechaRegistrada[Peso de 100 semillas - réplica 2 (g)],MATCH(tblCosechaCalculada[[#This Row],[Identificador de observación]],tblCosechaRegistrada[Identificador de observación],0))</f>
        <v/>
      </c>
      <c r="L13" s="14">
        <f>INDEX(tblCosechaRegistrada[Peso de 100 semillas - réplica 3 (g)],MATCH(tblCosechaCalculada[[#This Row],[Identificador de observación]],tblCosechaRegistrada[Identificador de observación],0))</f>
        <v/>
      </c>
      <c r="M13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13" s="14">
        <f>AVERAGE(tblCosechaCalculada[[#This Row],[Peso de 100 semillas - réplica 1 (g)]:[Peso de 100 semillas - réplica 3 (g)]])*10</f>
        <v/>
      </c>
      <c r="O13" s="14">
        <f>tblCosechaCalculada[[#This Row],[Panojas en el área cosechada (panojas)]]/INDEX(tblMetadatos[Valor],MATCH("harvest_sample_area_m2",tblMetadatos[Parámetro],0))</f>
        <v/>
      </c>
      <c r="P13" s="14">
        <f>tblCosechaCalculada[[#This Row],[Peso de semilla sin limpiar (g)]]*10/INDEX(tblMetadatos[Valor],MATCH("harvest_sample_area_m2",tblMetadatos[Parámetro],0))</f>
        <v/>
      </c>
      <c r="Q13" s="14">
        <f>tblCosechaCalculada[[#This Row],[Peso de semilla limpia (g)]]*10/INDEX(tblMetadatos[Valor],MATCH("harvest_sample_area_m2",tblMetadatos[Parámetro],0))</f>
        <v/>
      </c>
      <c r="R13" s="14">
        <f>tblCosechaCalculada[[#This Row],[Peso de semilla limpia (g)]]/tblCosechaCalculada[[#This Row],[Peso de semilla sin limpiar (g)]]</f>
        <v/>
      </c>
      <c r="S13" s="14">
        <f>100*(1-tblCosechaCalculada[[#This Row],[Recuperación de limpieza (proporción)]])</f>
        <v/>
      </c>
      <c r="T13" s="14">
        <f>1000*tblCosechaCalculada[[#This Row],[Peso de semilla limpia (g)]]/tblCosechaCalculada[[#This Row],[Peso de mil semillas (g)]]</f>
        <v/>
      </c>
      <c r="U13" s="14">
        <f>tblCosechaCalculada[[#This Row],[Número estimado de semillas (semillas)]]/tblCosechaCalculada[[#This Row],[Panojas en el área cosechada (panojas)]]</f>
        <v/>
      </c>
      <c r="V13" s="14">
        <f>100*tblCosechaCalculada[[#This Row],[Rendimiento limpio (kg/ha)]]/tblCosechaCalculada[[#This Row],[Biomasa final enlazada (kg MS/ha)]]</f>
        <v/>
      </c>
    </row>
    <row r="14">
      <c r="A14" s="6" t="inlineStr">
        <is>
          <t>harvest_20251112_secano_m0_r2</t>
        </is>
      </c>
      <c r="B14" s="13">
        <f>INDEX(tblCosechaRegistrada[Fecha],MATCH(tblCosechaCalculada[[#This Row],[Identificador de observación]],tblCosechaRegistrada[Identificador de observación],0))</f>
        <v/>
      </c>
      <c r="C14" s="12">
        <f>INDEX(tblCosechaRegistrada[Muestra],MATCH(tblCosechaCalculada[[#This Row],[Identificador de observación]],tblCosechaRegistrada[Identificador de observación],0))</f>
        <v/>
      </c>
      <c r="D14" s="6">
        <f>INDEX(tblCosechaRegistrada[Sector hídrico],MATCH(tblCosechaCalculada[[#This Row],[Identificador de observación]],tblCosechaRegistrada[Identificador de observación],0))</f>
        <v/>
      </c>
      <c r="E14" s="6">
        <f>INDEX(tblCosechaRegistrada[Tratamiento],MATCH(tblCosechaCalculada[[#This Row],[Identificador de observación]],tblCosechaRegistrada[Identificador de observación],0))</f>
        <v/>
      </c>
      <c r="F14" s="6">
        <f>INDEX(tblCosechaRegistrada[Bloque],MATCH(tblCosechaCalculada[[#This Row],[Identificador de observación]],tblCosechaRegistrada[Identificador de observación],0))</f>
        <v/>
      </c>
      <c r="G14" s="14">
        <f>INDEX(tblCosechaRegistrada[Panojas en el área cosechada (panojas)],MATCH(tblCosechaCalculada[[#This Row],[Identificador de observación]],tblCosechaRegistrada[Identificador de observación],0))</f>
        <v/>
      </c>
      <c r="H14" s="14">
        <f>INDEX(tblCosechaRegistrada[Peso de semilla sin limpiar (g)],MATCH(tblCosechaCalculada[[#This Row],[Identificador de observación]],tblCosechaRegistrada[Identificador de observación],0))</f>
        <v/>
      </c>
      <c r="I14" s="14">
        <f>INDEX(tblCosechaRegistrada[Peso de semilla limpia (g)],MATCH(tblCosechaCalculada[[#This Row],[Identificador de observación]],tblCosechaRegistrada[Identificador de observación],0))</f>
        <v/>
      </c>
      <c r="J14" s="14">
        <f>INDEX(tblCosechaRegistrada[Peso de 100 semillas - réplica 1 (g)],MATCH(tblCosechaCalculada[[#This Row],[Identificador de observación]],tblCosechaRegistrada[Identificador de observación],0))</f>
        <v/>
      </c>
      <c r="K14" s="14">
        <f>INDEX(tblCosechaRegistrada[Peso de 100 semillas - réplica 2 (g)],MATCH(tblCosechaCalculada[[#This Row],[Identificador de observación]],tblCosechaRegistrada[Identificador de observación],0))</f>
        <v/>
      </c>
      <c r="L14" s="14">
        <f>INDEX(tblCosechaRegistrada[Peso de 100 semillas - réplica 3 (g)],MATCH(tblCosechaCalculada[[#This Row],[Identificador de observación]],tblCosechaRegistrada[Identificador de observación],0))</f>
        <v/>
      </c>
      <c r="M14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14" s="14">
        <f>AVERAGE(tblCosechaCalculada[[#This Row],[Peso de 100 semillas - réplica 1 (g)]:[Peso de 100 semillas - réplica 3 (g)]])*10</f>
        <v/>
      </c>
      <c r="O14" s="14">
        <f>tblCosechaCalculada[[#This Row],[Panojas en el área cosechada (panojas)]]/INDEX(tblMetadatos[Valor],MATCH("harvest_sample_area_m2",tblMetadatos[Parámetro],0))</f>
        <v/>
      </c>
      <c r="P14" s="14">
        <f>tblCosechaCalculada[[#This Row],[Peso de semilla sin limpiar (g)]]*10/INDEX(tblMetadatos[Valor],MATCH("harvest_sample_area_m2",tblMetadatos[Parámetro],0))</f>
        <v/>
      </c>
      <c r="Q14" s="14">
        <f>tblCosechaCalculada[[#This Row],[Peso de semilla limpia (g)]]*10/INDEX(tblMetadatos[Valor],MATCH("harvest_sample_area_m2",tblMetadatos[Parámetro],0))</f>
        <v/>
      </c>
      <c r="R14" s="14">
        <f>tblCosechaCalculada[[#This Row],[Peso de semilla limpia (g)]]/tblCosechaCalculada[[#This Row],[Peso de semilla sin limpiar (g)]]</f>
        <v/>
      </c>
      <c r="S14" s="14">
        <f>100*(1-tblCosechaCalculada[[#This Row],[Recuperación de limpieza (proporción)]])</f>
        <v/>
      </c>
      <c r="T14" s="14">
        <f>1000*tblCosechaCalculada[[#This Row],[Peso de semilla limpia (g)]]/tblCosechaCalculada[[#This Row],[Peso de mil semillas (g)]]</f>
        <v/>
      </c>
      <c r="U14" s="14">
        <f>tblCosechaCalculada[[#This Row],[Número estimado de semillas (semillas)]]/tblCosechaCalculada[[#This Row],[Panojas en el área cosechada (panojas)]]</f>
        <v/>
      </c>
      <c r="V14" s="14">
        <f>100*tblCosechaCalculada[[#This Row],[Rendimiento limpio (kg/ha)]]/tblCosechaCalculada[[#This Row],[Biomasa final enlazada (kg MS/ha)]]</f>
        <v/>
      </c>
    </row>
    <row r="15">
      <c r="A15" s="6" t="inlineStr">
        <is>
          <t>harvest_20251112_secano_m1_r2</t>
        </is>
      </c>
      <c r="B15" s="13">
        <f>INDEX(tblCosechaRegistrada[Fecha],MATCH(tblCosechaCalculada[[#This Row],[Identificador de observación]],tblCosechaRegistrada[Identificador de observación],0))</f>
        <v/>
      </c>
      <c r="C15" s="12">
        <f>INDEX(tblCosechaRegistrada[Muestra],MATCH(tblCosechaCalculada[[#This Row],[Identificador de observación]],tblCosechaRegistrada[Identificador de observación],0))</f>
        <v/>
      </c>
      <c r="D15" s="6">
        <f>INDEX(tblCosechaRegistrada[Sector hídrico],MATCH(tblCosechaCalculada[[#This Row],[Identificador de observación]],tblCosechaRegistrada[Identificador de observación],0))</f>
        <v/>
      </c>
      <c r="E15" s="6">
        <f>INDEX(tblCosechaRegistrada[Tratamiento],MATCH(tblCosechaCalculada[[#This Row],[Identificador de observación]],tblCosechaRegistrada[Identificador de observación],0))</f>
        <v/>
      </c>
      <c r="F15" s="6">
        <f>INDEX(tblCosechaRegistrada[Bloque],MATCH(tblCosechaCalculada[[#This Row],[Identificador de observación]],tblCosechaRegistrada[Identificador de observación],0))</f>
        <v/>
      </c>
      <c r="G15" s="14">
        <f>INDEX(tblCosechaRegistrada[Panojas en el área cosechada (panojas)],MATCH(tblCosechaCalculada[[#This Row],[Identificador de observación]],tblCosechaRegistrada[Identificador de observación],0))</f>
        <v/>
      </c>
      <c r="H15" s="14">
        <f>INDEX(tblCosechaRegistrada[Peso de semilla sin limpiar (g)],MATCH(tblCosechaCalculada[[#This Row],[Identificador de observación]],tblCosechaRegistrada[Identificador de observación],0))</f>
        <v/>
      </c>
      <c r="I15" s="14">
        <f>INDEX(tblCosechaRegistrada[Peso de semilla limpia (g)],MATCH(tblCosechaCalculada[[#This Row],[Identificador de observación]],tblCosechaRegistrada[Identificador de observación],0))</f>
        <v/>
      </c>
      <c r="J15" s="14">
        <f>INDEX(tblCosechaRegistrada[Peso de 100 semillas - réplica 1 (g)],MATCH(tblCosechaCalculada[[#This Row],[Identificador de observación]],tblCosechaRegistrada[Identificador de observación],0))</f>
        <v/>
      </c>
      <c r="K15" s="14">
        <f>INDEX(tblCosechaRegistrada[Peso de 100 semillas - réplica 2 (g)],MATCH(tblCosechaCalculada[[#This Row],[Identificador de observación]],tblCosechaRegistrada[Identificador de observación],0))</f>
        <v/>
      </c>
      <c r="L15" s="14">
        <f>INDEX(tblCosechaRegistrada[Peso de 100 semillas - réplica 3 (g)],MATCH(tblCosechaCalculada[[#This Row],[Identificador de observación]],tblCosechaRegistrada[Identificador de observación],0))</f>
        <v/>
      </c>
      <c r="M15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15" s="14">
        <f>AVERAGE(tblCosechaCalculada[[#This Row],[Peso de 100 semillas - réplica 1 (g)]:[Peso de 100 semillas - réplica 3 (g)]])*10</f>
        <v/>
      </c>
      <c r="O15" s="14">
        <f>tblCosechaCalculada[[#This Row],[Panojas en el área cosechada (panojas)]]/INDEX(tblMetadatos[Valor],MATCH("harvest_sample_area_m2",tblMetadatos[Parámetro],0))</f>
        <v/>
      </c>
      <c r="P15" s="14">
        <f>tblCosechaCalculada[[#This Row],[Peso de semilla sin limpiar (g)]]*10/INDEX(tblMetadatos[Valor],MATCH("harvest_sample_area_m2",tblMetadatos[Parámetro],0))</f>
        <v/>
      </c>
      <c r="Q15" s="14">
        <f>tblCosechaCalculada[[#This Row],[Peso de semilla limpia (g)]]*10/INDEX(tblMetadatos[Valor],MATCH("harvest_sample_area_m2",tblMetadatos[Parámetro],0))</f>
        <v/>
      </c>
      <c r="R15" s="14">
        <f>tblCosechaCalculada[[#This Row],[Peso de semilla limpia (g)]]/tblCosechaCalculada[[#This Row],[Peso de semilla sin limpiar (g)]]</f>
        <v/>
      </c>
      <c r="S15" s="14">
        <f>100*(1-tblCosechaCalculada[[#This Row],[Recuperación de limpieza (proporción)]])</f>
        <v/>
      </c>
      <c r="T15" s="14">
        <f>1000*tblCosechaCalculada[[#This Row],[Peso de semilla limpia (g)]]/tblCosechaCalculada[[#This Row],[Peso de mil semillas (g)]]</f>
        <v/>
      </c>
      <c r="U15" s="14">
        <f>tblCosechaCalculada[[#This Row],[Número estimado de semillas (semillas)]]/tblCosechaCalculada[[#This Row],[Panojas en el área cosechada (panojas)]]</f>
        <v/>
      </c>
      <c r="V15" s="14">
        <f>100*tblCosechaCalculada[[#This Row],[Rendimiento limpio (kg/ha)]]/tblCosechaCalculada[[#This Row],[Biomasa final enlazada (kg MS/ha)]]</f>
        <v/>
      </c>
    </row>
    <row r="16">
      <c r="A16" s="6" t="inlineStr">
        <is>
          <t>harvest_20251112_secano_m5_r2</t>
        </is>
      </c>
      <c r="B16" s="13">
        <f>INDEX(tblCosechaRegistrada[Fecha],MATCH(tblCosechaCalculada[[#This Row],[Identificador de observación]],tblCosechaRegistrada[Identificador de observación],0))</f>
        <v/>
      </c>
      <c r="C16" s="12">
        <f>INDEX(tblCosechaRegistrada[Muestra],MATCH(tblCosechaCalculada[[#This Row],[Identificador de observación]],tblCosechaRegistrada[Identificador de observación],0))</f>
        <v/>
      </c>
      <c r="D16" s="6">
        <f>INDEX(tblCosechaRegistrada[Sector hídrico],MATCH(tblCosechaCalculada[[#This Row],[Identificador de observación]],tblCosechaRegistrada[Identificador de observación],0))</f>
        <v/>
      </c>
      <c r="E16" s="6">
        <f>INDEX(tblCosechaRegistrada[Tratamiento],MATCH(tblCosechaCalculada[[#This Row],[Identificador de observación]],tblCosechaRegistrada[Identificador de observación],0))</f>
        <v/>
      </c>
      <c r="F16" s="6">
        <f>INDEX(tblCosechaRegistrada[Bloque],MATCH(tblCosechaCalculada[[#This Row],[Identificador de observación]],tblCosechaRegistrada[Identificador de observación],0))</f>
        <v/>
      </c>
      <c r="G16" s="14">
        <f>INDEX(tblCosechaRegistrada[Panojas en el área cosechada (panojas)],MATCH(tblCosechaCalculada[[#This Row],[Identificador de observación]],tblCosechaRegistrada[Identificador de observación],0))</f>
        <v/>
      </c>
      <c r="H16" s="14">
        <f>INDEX(tblCosechaRegistrada[Peso de semilla sin limpiar (g)],MATCH(tblCosechaCalculada[[#This Row],[Identificador de observación]],tblCosechaRegistrada[Identificador de observación],0))</f>
        <v/>
      </c>
      <c r="I16" s="14">
        <f>INDEX(tblCosechaRegistrada[Peso de semilla limpia (g)],MATCH(tblCosechaCalculada[[#This Row],[Identificador de observación]],tblCosechaRegistrada[Identificador de observación],0))</f>
        <v/>
      </c>
      <c r="J16" s="14">
        <f>INDEX(tblCosechaRegistrada[Peso de 100 semillas - réplica 1 (g)],MATCH(tblCosechaCalculada[[#This Row],[Identificador de observación]],tblCosechaRegistrada[Identificador de observación],0))</f>
        <v/>
      </c>
      <c r="K16" s="14">
        <f>INDEX(tblCosechaRegistrada[Peso de 100 semillas - réplica 2 (g)],MATCH(tblCosechaCalculada[[#This Row],[Identificador de observación]],tblCosechaRegistrada[Identificador de observación],0))</f>
        <v/>
      </c>
      <c r="L16" s="14">
        <f>INDEX(tblCosechaRegistrada[Peso de 100 semillas - réplica 3 (g)],MATCH(tblCosechaCalculada[[#This Row],[Identificador de observación]],tblCosechaRegistrada[Identificador de observación],0))</f>
        <v/>
      </c>
      <c r="M16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16" s="14">
        <f>AVERAGE(tblCosechaCalculada[[#This Row],[Peso de 100 semillas - réplica 1 (g)]:[Peso de 100 semillas - réplica 3 (g)]])*10</f>
        <v/>
      </c>
      <c r="O16" s="14">
        <f>tblCosechaCalculada[[#This Row],[Panojas en el área cosechada (panojas)]]/INDEX(tblMetadatos[Valor],MATCH("harvest_sample_area_m2",tblMetadatos[Parámetro],0))</f>
        <v/>
      </c>
      <c r="P16" s="14">
        <f>tblCosechaCalculada[[#This Row],[Peso de semilla sin limpiar (g)]]*10/INDEX(tblMetadatos[Valor],MATCH("harvest_sample_area_m2",tblMetadatos[Parámetro],0))</f>
        <v/>
      </c>
      <c r="Q16" s="14">
        <f>tblCosechaCalculada[[#This Row],[Peso de semilla limpia (g)]]*10/INDEX(tblMetadatos[Valor],MATCH("harvest_sample_area_m2",tblMetadatos[Parámetro],0))</f>
        <v/>
      </c>
      <c r="R16" s="14">
        <f>tblCosechaCalculada[[#This Row],[Peso de semilla limpia (g)]]/tblCosechaCalculada[[#This Row],[Peso de semilla sin limpiar (g)]]</f>
        <v/>
      </c>
      <c r="S16" s="14">
        <f>100*(1-tblCosechaCalculada[[#This Row],[Recuperación de limpieza (proporción)]])</f>
        <v/>
      </c>
      <c r="T16" s="14">
        <f>1000*tblCosechaCalculada[[#This Row],[Peso de semilla limpia (g)]]/tblCosechaCalculada[[#This Row],[Peso de mil semillas (g)]]</f>
        <v/>
      </c>
      <c r="U16" s="14">
        <f>tblCosechaCalculada[[#This Row],[Número estimado de semillas (semillas)]]/tblCosechaCalculada[[#This Row],[Panojas en el área cosechada (panojas)]]</f>
        <v/>
      </c>
      <c r="V16" s="14">
        <f>100*tblCosechaCalculada[[#This Row],[Rendimiento limpio (kg/ha)]]/tblCosechaCalculada[[#This Row],[Biomasa final enlazada (kg MS/ha)]]</f>
        <v/>
      </c>
    </row>
    <row r="17">
      <c r="A17" s="6" t="inlineStr">
        <is>
          <t>harvest_20251112_secano_m3_r3</t>
        </is>
      </c>
      <c r="B17" s="13">
        <f>INDEX(tblCosechaRegistrada[Fecha],MATCH(tblCosechaCalculada[[#This Row],[Identificador de observación]],tblCosechaRegistrada[Identificador de observación],0))</f>
        <v/>
      </c>
      <c r="C17" s="12">
        <f>INDEX(tblCosechaRegistrada[Muestra],MATCH(tblCosechaCalculada[[#This Row],[Identificador de observación]],tblCosechaRegistrada[Identificador de observación],0))</f>
        <v/>
      </c>
      <c r="D17" s="6">
        <f>INDEX(tblCosechaRegistrada[Sector hídrico],MATCH(tblCosechaCalculada[[#This Row],[Identificador de observación]],tblCosechaRegistrada[Identificador de observación],0))</f>
        <v/>
      </c>
      <c r="E17" s="6">
        <f>INDEX(tblCosechaRegistrada[Tratamiento],MATCH(tblCosechaCalculada[[#This Row],[Identificador de observación]],tblCosechaRegistrada[Identificador de observación],0))</f>
        <v/>
      </c>
      <c r="F17" s="6">
        <f>INDEX(tblCosechaRegistrada[Bloque],MATCH(tblCosechaCalculada[[#This Row],[Identificador de observación]],tblCosechaRegistrada[Identificador de observación],0))</f>
        <v/>
      </c>
      <c r="G17" s="14">
        <f>INDEX(tblCosechaRegistrada[Panojas en el área cosechada (panojas)],MATCH(tblCosechaCalculada[[#This Row],[Identificador de observación]],tblCosechaRegistrada[Identificador de observación],0))</f>
        <v/>
      </c>
      <c r="H17" s="14">
        <f>INDEX(tblCosechaRegistrada[Peso de semilla sin limpiar (g)],MATCH(tblCosechaCalculada[[#This Row],[Identificador de observación]],tblCosechaRegistrada[Identificador de observación],0))</f>
        <v/>
      </c>
      <c r="I17" s="14">
        <f>INDEX(tblCosechaRegistrada[Peso de semilla limpia (g)],MATCH(tblCosechaCalculada[[#This Row],[Identificador de observación]],tblCosechaRegistrada[Identificador de observación],0))</f>
        <v/>
      </c>
      <c r="J17" s="14">
        <f>INDEX(tblCosechaRegistrada[Peso de 100 semillas - réplica 1 (g)],MATCH(tblCosechaCalculada[[#This Row],[Identificador de observación]],tblCosechaRegistrada[Identificador de observación],0))</f>
        <v/>
      </c>
      <c r="K17" s="14">
        <f>INDEX(tblCosechaRegistrada[Peso de 100 semillas - réplica 2 (g)],MATCH(tblCosechaCalculada[[#This Row],[Identificador de observación]],tblCosechaRegistrada[Identificador de observación],0))</f>
        <v/>
      </c>
      <c r="L17" s="14">
        <f>INDEX(tblCosechaRegistrada[Peso de 100 semillas - réplica 3 (g)],MATCH(tblCosechaCalculada[[#This Row],[Identificador de observación]],tblCosechaRegistrada[Identificador de observación],0))</f>
        <v/>
      </c>
      <c r="M17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17" s="14">
        <f>AVERAGE(tblCosechaCalculada[[#This Row],[Peso de 100 semillas - réplica 1 (g)]:[Peso de 100 semillas - réplica 3 (g)]])*10</f>
        <v/>
      </c>
      <c r="O17" s="14">
        <f>tblCosechaCalculada[[#This Row],[Panojas en el área cosechada (panojas)]]/INDEX(tblMetadatos[Valor],MATCH("harvest_sample_area_m2",tblMetadatos[Parámetro],0))</f>
        <v/>
      </c>
      <c r="P17" s="14">
        <f>tblCosechaCalculada[[#This Row],[Peso de semilla sin limpiar (g)]]*10/INDEX(tblMetadatos[Valor],MATCH("harvest_sample_area_m2",tblMetadatos[Parámetro],0))</f>
        <v/>
      </c>
      <c r="Q17" s="14">
        <f>tblCosechaCalculada[[#This Row],[Peso de semilla limpia (g)]]*10/INDEX(tblMetadatos[Valor],MATCH("harvest_sample_area_m2",tblMetadatos[Parámetro],0))</f>
        <v/>
      </c>
      <c r="R17" s="14">
        <f>tblCosechaCalculada[[#This Row],[Peso de semilla limpia (g)]]/tblCosechaCalculada[[#This Row],[Peso de semilla sin limpiar (g)]]</f>
        <v/>
      </c>
      <c r="S17" s="14">
        <f>100*(1-tblCosechaCalculada[[#This Row],[Recuperación de limpieza (proporción)]])</f>
        <v/>
      </c>
      <c r="T17" s="14">
        <f>1000*tblCosechaCalculada[[#This Row],[Peso de semilla limpia (g)]]/tblCosechaCalculada[[#This Row],[Peso de mil semillas (g)]]</f>
        <v/>
      </c>
      <c r="U17" s="14">
        <f>tblCosechaCalculada[[#This Row],[Número estimado de semillas (semillas)]]/tblCosechaCalculada[[#This Row],[Panojas en el área cosechada (panojas)]]</f>
        <v/>
      </c>
      <c r="V17" s="14">
        <f>100*tblCosechaCalculada[[#This Row],[Rendimiento limpio (kg/ha)]]/tblCosechaCalculada[[#This Row],[Biomasa final enlazada (kg MS/ha)]]</f>
        <v/>
      </c>
    </row>
    <row r="18">
      <c r="A18" s="6" t="inlineStr">
        <is>
          <t>harvest_20251112_secano_m4_r3</t>
        </is>
      </c>
      <c r="B18" s="13">
        <f>INDEX(tblCosechaRegistrada[Fecha],MATCH(tblCosechaCalculada[[#This Row],[Identificador de observación]],tblCosechaRegistrada[Identificador de observación],0))</f>
        <v/>
      </c>
      <c r="C18" s="12">
        <f>INDEX(tblCosechaRegistrada[Muestra],MATCH(tblCosechaCalculada[[#This Row],[Identificador de observación]],tblCosechaRegistrada[Identificador de observación],0))</f>
        <v/>
      </c>
      <c r="D18" s="6">
        <f>INDEX(tblCosechaRegistrada[Sector hídrico],MATCH(tblCosechaCalculada[[#This Row],[Identificador de observación]],tblCosechaRegistrada[Identificador de observación],0))</f>
        <v/>
      </c>
      <c r="E18" s="6">
        <f>INDEX(tblCosechaRegistrada[Tratamiento],MATCH(tblCosechaCalculada[[#This Row],[Identificador de observación]],tblCosechaRegistrada[Identificador de observación],0))</f>
        <v/>
      </c>
      <c r="F18" s="6">
        <f>INDEX(tblCosechaRegistrada[Bloque],MATCH(tblCosechaCalculada[[#This Row],[Identificador de observación]],tblCosechaRegistrada[Identificador de observación],0))</f>
        <v/>
      </c>
      <c r="G18" s="14">
        <f>INDEX(tblCosechaRegistrada[Panojas en el área cosechada (panojas)],MATCH(tblCosechaCalculada[[#This Row],[Identificador de observación]],tblCosechaRegistrada[Identificador de observación],0))</f>
        <v/>
      </c>
      <c r="H18" s="14">
        <f>INDEX(tblCosechaRegistrada[Peso de semilla sin limpiar (g)],MATCH(tblCosechaCalculada[[#This Row],[Identificador de observación]],tblCosechaRegistrada[Identificador de observación],0))</f>
        <v/>
      </c>
      <c r="I18" s="14">
        <f>INDEX(tblCosechaRegistrada[Peso de semilla limpia (g)],MATCH(tblCosechaCalculada[[#This Row],[Identificador de observación]],tblCosechaRegistrada[Identificador de observación],0))</f>
        <v/>
      </c>
      <c r="J18" s="14">
        <f>INDEX(tblCosechaRegistrada[Peso de 100 semillas - réplica 1 (g)],MATCH(tblCosechaCalculada[[#This Row],[Identificador de observación]],tblCosechaRegistrada[Identificador de observación],0))</f>
        <v/>
      </c>
      <c r="K18" s="14">
        <f>INDEX(tblCosechaRegistrada[Peso de 100 semillas - réplica 2 (g)],MATCH(tblCosechaCalculada[[#This Row],[Identificador de observación]],tblCosechaRegistrada[Identificador de observación],0))</f>
        <v/>
      </c>
      <c r="L18" s="14">
        <f>INDEX(tblCosechaRegistrada[Peso de 100 semillas - réplica 3 (g)],MATCH(tblCosechaCalculada[[#This Row],[Identificador de observación]],tblCosechaRegistrada[Identificador de observación],0))</f>
        <v/>
      </c>
      <c r="M18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18" s="14">
        <f>AVERAGE(tblCosechaCalculada[[#This Row],[Peso de 100 semillas - réplica 1 (g)]:[Peso de 100 semillas - réplica 3 (g)]])*10</f>
        <v/>
      </c>
      <c r="O18" s="14">
        <f>tblCosechaCalculada[[#This Row],[Panojas en el área cosechada (panojas)]]/INDEX(tblMetadatos[Valor],MATCH("harvest_sample_area_m2",tblMetadatos[Parámetro],0))</f>
        <v/>
      </c>
      <c r="P18" s="14">
        <f>tblCosechaCalculada[[#This Row],[Peso de semilla sin limpiar (g)]]*10/INDEX(tblMetadatos[Valor],MATCH("harvest_sample_area_m2",tblMetadatos[Parámetro],0))</f>
        <v/>
      </c>
      <c r="Q18" s="14">
        <f>tblCosechaCalculada[[#This Row],[Peso de semilla limpia (g)]]*10/INDEX(tblMetadatos[Valor],MATCH("harvest_sample_area_m2",tblMetadatos[Parámetro],0))</f>
        <v/>
      </c>
      <c r="R18" s="14">
        <f>tblCosechaCalculada[[#This Row],[Peso de semilla limpia (g)]]/tblCosechaCalculada[[#This Row],[Peso de semilla sin limpiar (g)]]</f>
        <v/>
      </c>
      <c r="S18" s="14">
        <f>100*(1-tblCosechaCalculada[[#This Row],[Recuperación de limpieza (proporción)]])</f>
        <v/>
      </c>
      <c r="T18" s="14">
        <f>1000*tblCosechaCalculada[[#This Row],[Peso de semilla limpia (g)]]/tblCosechaCalculada[[#This Row],[Peso de mil semillas (g)]]</f>
        <v/>
      </c>
      <c r="U18" s="14">
        <f>tblCosechaCalculada[[#This Row],[Número estimado de semillas (semillas)]]/tblCosechaCalculada[[#This Row],[Panojas en el área cosechada (panojas)]]</f>
        <v/>
      </c>
      <c r="V18" s="14">
        <f>100*tblCosechaCalculada[[#This Row],[Rendimiento limpio (kg/ha)]]/tblCosechaCalculada[[#This Row],[Biomasa final enlazada (kg MS/ha)]]</f>
        <v/>
      </c>
    </row>
    <row r="19">
      <c r="A19" s="6" t="inlineStr">
        <is>
          <t>harvest_20251112_secano_m0_r3</t>
        </is>
      </c>
      <c r="B19" s="13">
        <f>INDEX(tblCosechaRegistrada[Fecha],MATCH(tblCosechaCalculada[[#This Row],[Identificador de observación]],tblCosechaRegistrada[Identificador de observación],0))</f>
        <v/>
      </c>
      <c r="C19" s="12">
        <f>INDEX(tblCosechaRegistrada[Muestra],MATCH(tblCosechaCalculada[[#This Row],[Identificador de observación]],tblCosechaRegistrada[Identificador de observación],0))</f>
        <v/>
      </c>
      <c r="D19" s="6">
        <f>INDEX(tblCosechaRegistrada[Sector hídrico],MATCH(tblCosechaCalculada[[#This Row],[Identificador de observación]],tblCosechaRegistrada[Identificador de observación],0))</f>
        <v/>
      </c>
      <c r="E19" s="6">
        <f>INDEX(tblCosechaRegistrada[Tratamiento],MATCH(tblCosechaCalculada[[#This Row],[Identificador de observación]],tblCosechaRegistrada[Identificador de observación],0))</f>
        <v/>
      </c>
      <c r="F19" s="6">
        <f>INDEX(tblCosechaRegistrada[Bloque],MATCH(tblCosechaCalculada[[#This Row],[Identificador de observación]],tblCosechaRegistrada[Identificador de observación],0))</f>
        <v/>
      </c>
      <c r="G19" s="14">
        <f>INDEX(tblCosechaRegistrada[Panojas en el área cosechada (panojas)],MATCH(tblCosechaCalculada[[#This Row],[Identificador de observación]],tblCosechaRegistrada[Identificador de observación],0))</f>
        <v/>
      </c>
      <c r="H19" s="14">
        <f>INDEX(tblCosechaRegistrada[Peso de semilla sin limpiar (g)],MATCH(tblCosechaCalculada[[#This Row],[Identificador de observación]],tblCosechaRegistrada[Identificador de observación],0))</f>
        <v/>
      </c>
      <c r="I19" s="14">
        <f>INDEX(tblCosechaRegistrada[Peso de semilla limpia (g)],MATCH(tblCosechaCalculada[[#This Row],[Identificador de observación]],tblCosechaRegistrada[Identificador de observación],0))</f>
        <v/>
      </c>
      <c r="J19" s="14">
        <f>INDEX(tblCosechaRegistrada[Peso de 100 semillas - réplica 1 (g)],MATCH(tblCosechaCalculada[[#This Row],[Identificador de observación]],tblCosechaRegistrada[Identificador de observación],0))</f>
        <v/>
      </c>
      <c r="K19" s="14">
        <f>INDEX(tblCosechaRegistrada[Peso de 100 semillas - réplica 2 (g)],MATCH(tblCosechaCalculada[[#This Row],[Identificador de observación]],tblCosechaRegistrada[Identificador de observación],0))</f>
        <v/>
      </c>
      <c r="L19" s="14">
        <f>INDEX(tblCosechaRegistrada[Peso de 100 semillas - réplica 3 (g)],MATCH(tblCosechaCalculada[[#This Row],[Identificador de observación]],tblCosechaRegistrada[Identificador de observación],0))</f>
        <v/>
      </c>
      <c r="M19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19" s="14">
        <f>AVERAGE(tblCosechaCalculada[[#This Row],[Peso de 100 semillas - réplica 1 (g)]:[Peso de 100 semillas - réplica 3 (g)]])*10</f>
        <v/>
      </c>
      <c r="O19" s="14">
        <f>tblCosechaCalculada[[#This Row],[Panojas en el área cosechada (panojas)]]/INDEX(tblMetadatos[Valor],MATCH("harvest_sample_area_m2",tblMetadatos[Parámetro],0))</f>
        <v/>
      </c>
      <c r="P19" s="14">
        <f>tblCosechaCalculada[[#This Row],[Peso de semilla sin limpiar (g)]]*10/INDEX(tblMetadatos[Valor],MATCH("harvest_sample_area_m2",tblMetadatos[Parámetro],0))</f>
        <v/>
      </c>
      <c r="Q19" s="14">
        <f>tblCosechaCalculada[[#This Row],[Peso de semilla limpia (g)]]*10/INDEX(tblMetadatos[Valor],MATCH("harvest_sample_area_m2",tblMetadatos[Parámetro],0))</f>
        <v/>
      </c>
      <c r="R19" s="14">
        <f>tblCosechaCalculada[[#This Row],[Peso de semilla limpia (g)]]/tblCosechaCalculada[[#This Row],[Peso de semilla sin limpiar (g)]]</f>
        <v/>
      </c>
      <c r="S19" s="14">
        <f>100*(1-tblCosechaCalculada[[#This Row],[Recuperación de limpieza (proporción)]])</f>
        <v/>
      </c>
      <c r="T19" s="14">
        <f>1000*tblCosechaCalculada[[#This Row],[Peso de semilla limpia (g)]]/tblCosechaCalculada[[#This Row],[Peso de mil semillas (g)]]</f>
        <v/>
      </c>
      <c r="U19" s="14">
        <f>tblCosechaCalculada[[#This Row],[Número estimado de semillas (semillas)]]/tblCosechaCalculada[[#This Row],[Panojas en el área cosechada (panojas)]]</f>
        <v/>
      </c>
      <c r="V19" s="14">
        <f>100*tblCosechaCalculada[[#This Row],[Rendimiento limpio (kg/ha)]]/tblCosechaCalculada[[#This Row],[Biomasa final enlazada (kg MS/ha)]]</f>
        <v/>
      </c>
    </row>
    <row r="20">
      <c r="A20" s="6" t="inlineStr">
        <is>
          <t>harvest_20251112_secano_m1_r3</t>
        </is>
      </c>
      <c r="B20" s="13">
        <f>INDEX(tblCosechaRegistrada[Fecha],MATCH(tblCosechaCalculada[[#This Row],[Identificador de observación]],tblCosechaRegistrada[Identificador de observación],0))</f>
        <v/>
      </c>
      <c r="C20" s="12">
        <f>INDEX(tblCosechaRegistrada[Muestra],MATCH(tblCosechaCalculada[[#This Row],[Identificador de observación]],tblCosechaRegistrada[Identificador de observación],0))</f>
        <v/>
      </c>
      <c r="D20" s="6">
        <f>INDEX(tblCosechaRegistrada[Sector hídrico],MATCH(tblCosechaCalculada[[#This Row],[Identificador de observación]],tblCosechaRegistrada[Identificador de observación],0))</f>
        <v/>
      </c>
      <c r="E20" s="6">
        <f>INDEX(tblCosechaRegistrada[Tratamiento],MATCH(tblCosechaCalculada[[#This Row],[Identificador de observación]],tblCosechaRegistrada[Identificador de observación],0))</f>
        <v/>
      </c>
      <c r="F20" s="6">
        <f>INDEX(tblCosechaRegistrada[Bloque],MATCH(tblCosechaCalculada[[#This Row],[Identificador de observación]],tblCosechaRegistrada[Identificador de observación],0))</f>
        <v/>
      </c>
      <c r="G20" s="14">
        <f>INDEX(tblCosechaRegistrada[Panojas en el área cosechada (panojas)],MATCH(tblCosechaCalculada[[#This Row],[Identificador de observación]],tblCosechaRegistrada[Identificador de observación],0))</f>
        <v/>
      </c>
      <c r="H20" s="14">
        <f>INDEX(tblCosechaRegistrada[Peso de semilla sin limpiar (g)],MATCH(tblCosechaCalculada[[#This Row],[Identificador de observación]],tblCosechaRegistrada[Identificador de observación],0))</f>
        <v/>
      </c>
      <c r="I20" s="14">
        <f>INDEX(tblCosechaRegistrada[Peso de semilla limpia (g)],MATCH(tblCosechaCalculada[[#This Row],[Identificador de observación]],tblCosechaRegistrada[Identificador de observación],0))</f>
        <v/>
      </c>
      <c r="J20" s="14">
        <f>INDEX(tblCosechaRegistrada[Peso de 100 semillas - réplica 1 (g)],MATCH(tblCosechaCalculada[[#This Row],[Identificador de observación]],tblCosechaRegistrada[Identificador de observación],0))</f>
        <v/>
      </c>
      <c r="K20" s="14">
        <f>INDEX(tblCosechaRegistrada[Peso de 100 semillas - réplica 2 (g)],MATCH(tblCosechaCalculada[[#This Row],[Identificador de observación]],tblCosechaRegistrada[Identificador de observación],0))</f>
        <v/>
      </c>
      <c r="L20" s="14">
        <f>INDEX(tblCosechaRegistrada[Peso de 100 semillas - réplica 3 (g)],MATCH(tblCosechaCalculada[[#This Row],[Identificador de observación]],tblCosechaRegistrada[Identificador de observación],0))</f>
        <v/>
      </c>
      <c r="M20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20" s="14">
        <f>AVERAGE(tblCosechaCalculada[[#This Row],[Peso de 100 semillas - réplica 1 (g)]:[Peso de 100 semillas - réplica 3 (g)]])*10</f>
        <v/>
      </c>
      <c r="O20" s="14">
        <f>tblCosechaCalculada[[#This Row],[Panojas en el área cosechada (panojas)]]/INDEX(tblMetadatos[Valor],MATCH("harvest_sample_area_m2",tblMetadatos[Parámetro],0))</f>
        <v/>
      </c>
      <c r="P20" s="14">
        <f>tblCosechaCalculada[[#This Row],[Peso de semilla sin limpiar (g)]]*10/INDEX(tblMetadatos[Valor],MATCH("harvest_sample_area_m2",tblMetadatos[Parámetro],0))</f>
        <v/>
      </c>
      <c r="Q20" s="14">
        <f>tblCosechaCalculada[[#This Row],[Peso de semilla limpia (g)]]*10/INDEX(tblMetadatos[Valor],MATCH("harvest_sample_area_m2",tblMetadatos[Parámetro],0))</f>
        <v/>
      </c>
      <c r="R20" s="14">
        <f>tblCosechaCalculada[[#This Row],[Peso de semilla limpia (g)]]/tblCosechaCalculada[[#This Row],[Peso de semilla sin limpiar (g)]]</f>
        <v/>
      </c>
      <c r="S20" s="14">
        <f>100*(1-tblCosechaCalculada[[#This Row],[Recuperación de limpieza (proporción)]])</f>
        <v/>
      </c>
      <c r="T20" s="14">
        <f>1000*tblCosechaCalculada[[#This Row],[Peso de semilla limpia (g)]]/tblCosechaCalculada[[#This Row],[Peso de mil semillas (g)]]</f>
        <v/>
      </c>
      <c r="U20" s="14">
        <f>tblCosechaCalculada[[#This Row],[Número estimado de semillas (semillas)]]/tblCosechaCalculada[[#This Row],[Panojas en el área cosechada (panojas)]]</f>
        <v/>
      </c>
      <c r="V20" s="14">
        <f>100*tblCosechaCalculada[[#This Row],[Rendimiento limpio (kg/ha)]]/tblCosechaCalculada[[#This Row],[Biomasa final enlazada (kg MS/ha)]]</f>
        <v/>
      </c>
    </row>
    <row r="21">
      <c r="A21" s="6" t="inlineStr">
        <is>
          <t>harvest_20251112_secano_m5_r3</t>
        </is>
      </c>
      <c r="B21" s="13">
        <f>INDEX(tblCosechaRegistrada[Fecha],MATCH(tblCosechaCalculada[[#This Row],[Identificador de observación]],tblCosechaRegistrada[Identificador de observación],0))</f>
        <v/>
      </c>
      <c r="C21" s="12">
        <f>INDEX(tblCosechaRegistrada[Muestra],MATCH(tblCosechaCalculada[[#This Row],[Identificador de observación]],tblCosechaRegistrada[Identificador de observación],0))</f>
        <v/>
      </c>
      <c r="D21" s="6">
        <f>INDEX(tblCosechaRegistrada[Sector hídrico],MATCH(tblCosechaCalculada[[#This Row],[Identificador de observación]],tblCosechaRegistrada[Identificador de observación],0))</f>
        <v/>
      </c>
      <c r="E21" s="6">
        <f>INDEX(tblCosechaRegistrada[Tratamiento],MATCH(tblCosechaCalculada[[#This Row],[Identificador de observación]],tblCosechaRegistrada[Identificador de observación],0))</f>
        <v/>
      </c>
      <c r="F21" s="6">
        <f>INDEX(tblCosechaRegistrada[Bloque],MATCH(tblCosechaCalculada[[#This Row],[Identificador de observación]],tblCosechaRegistrada[Identificador de observación],0))</f>
        <v/>
      </c>
      <c r="G21" s="14">
        <f>INDEX(tblCosechaRegistrada[Panojas en el área cosechada (panojas)],MATCH(tblCosechaCalculada[[#This Row],[Identificador de observación]],tblCosechaRegistrada[Identificador de observación],0))</f>
        <v/>
      </c>
      <c r="H21" s="14">
        <f>INDEX(tblCosechaRegistrada[Peso de semilla sin limpiar (g)],MATCH(tblCosechaCalculada[[#This Row],[Identificador de observación]],tblCosechaRegistrada[Identificador de observación],0))</f>
        <v/>
      </c>
      <c r="I21" s="14">
        <f>INDEX(tblCosechaRegistrada[Peso de semilla limpia (g)],MATCH(tblCosechaCalculada[[#This Row],[Identificador de observación]],tblCosechaRegistrada[Identificador de observación],0))</f>
        <v/>
      </c>
      <c r="J21" s="14">
        <f>INDEX(tblCosechaRegistrada[Peso de 100 semillas - réplica 1 (g)],MATCH(tblCosechaCalculada[[#This Row],[Identificador de observación]],tblCosechaRegistrada[Identificador de observación],0))</f>
        <v/>
      </c>
      <c r="K21" s="14">
        <f>INDEX(tblCosechaRegistrada[Peso de 100 semillas - réplica 2 (g)],MATCH(tblCosechaCalculada[[#This Row],[Identificador de observación]],tblCosechaRegistrada[Identificador de observación],0))</f>
        <v/>
      </c>
      <c r="L21" s="14">
        <f>INDEX(tblCosechaRegistrada[Peso de 100 semillas - réplica 3 (g)],MATCH(tblCosechaCalculada[[#This Row],[Identificador de observación]],tblCosechaRegistrada[Identificador de observación],0))</f>
        <v/>
      </c>
      <c r="M21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21" s="14">
        <f>AVERAGE(tblCosechaCalculada[[#This Row],[Peso de 100 semillas - réplica 1 (g)]:[Peso de 100 semillas - réplica 3 (g)]])*10</f>
        <v/>
      </c>
      <c r="O21" s="14">
        <f>tblCosechaCalculada[[#This Row],[Panojas en el área cosechada (panojas)]]/INDEX(tblMetadatos[Valor],MATCH("harvest_sample_area_m2",tblMetadatos[Parámetro],0))</f>
        <v/>
      </c>
      <c r="P21" s="14">
        <f>tblCosechaCalculada[[#This Row],[Peso de semilla sin limpiar (g)]]*10/INDEX(tblMetadatos[Valor],MATCH("harvest_sample_area_m2",tblMetadatos[Parámetro],0))</f>
        <v/>
      </c>
      <c r="Q21" s="14">
        <f>tblCosechaCalculada[[#This Row],[Peso de semilla limpia (g)]]*10/INDEX(tblMetadatos[Valor],MATCH("harvest_sample_area_m2",tblMetadatos[Parámetro],0))</f>
        <v/>
      </c>
      <c r="R21" s="14">
        <f>tblCosechaCalculada[[#This Row],[Peso de semilla limpia (g)]]/tblCosechaCalculada[[#This Row],[Peso de semilla sin limpiar (g)]]</f>
        <v/>
      </c>
      <c r="S21" s="14">
        <f>100*(1-tblCosechaCalculada[[#This Row],[Recuperación de limpieza (proporción)]])</f>
        <v/>
      </c>
      <c r="T21" s="14">
        <f>1000*tblCosechaCalculada[[#This Row],[Peso de semilla limpia (g)]]/tblCosechaCalculada[[#This Row],[Peso de mil semillas (g)]]</f>
        <v/>
      </c>
      <c r="U21" s="14">
        <f>tblCosechaCalculada[[#This Row],[Número estimado de semillas (semillas)]]/tblCosechaCalculada[[#This Row],[Panojas en el área cosechada (panojas)]]</f>
        <v/>
      </c>
      <c r="V21" s="14">
        <f>100*tblCosechaCalculada[[#This Row],[Rendimiento limpio (kg/ha)]]/tblCosechaCalculada[[#This Row],[Biomasa final enlazada (kg MS/ha)]]</f>
        <v/>
      </c>
    </row>
    <row r="22">
      <c r="A22" s="6" t="inlineStr">
        <is>
          <t>harvest_20251112_secano_m2_r3</t>
        </is>
      </c>
      <c r="B22" s="13">
        <f>INDEX(tblCosechaRegistrada[Fecha],MATCH(tblCosechaCalculada[[#This Row],[Identificador de observación]],tblCosechaRegistrada[Identificador de observación],0))</f>
        <v/>
      </c>
      <c r="C22" s="12">
        <f>INDEX(tblCosechaRegistrada[Muestra],MATCH(tblCosechaCalculada[[#This Row],[Identificador de observación]],tblCosechaRegistrada[Identificador de observación],0))</f>
        <v/>
      </c>
      <c r="D22" s="6">
        <f>INDEX(tblCosechaRegistrada[Sector hídrico],MATCH(tblCosechaCalculada[[#This Row],[Identificador de observación]],tblCosechaRegistrada[Identificador de observación],0))</f>
        <v/>
      </c>
      <c r="E22" s="6">
        <f>INDEX(tblCosechaRegistrada[Tratamiento],MATCH(tblCosechaCalculada[[#This Row],[Identificador de observación]],tblCosechaRegistrada[Identificador de observación],0))</f>
        <v/>
      </c>
      <c r="F22" s="6">
        <f>INDEX(tblCosechaRegistrada[Bloque],MATCH(tblCosechaCalculada[[#This Row],[Identificador de observación]],tblCosechaRegistrada[Identificador de observación],0))</f>
        <v/>
      </c>
      <c r="G22" s="14">
        <f>INDEX(tblCosechaRegistrada[Panojas en el área cosechada (panojas)],MATCH(tblCosechaCalculada[[#This Row],[Identificador de observación]],tblCosechaRegistrada[Identificador de observación],0))</f>
        <v/>
      </c>
      <c r="H22" s="14">
        <f>INDEX(tblCosechaRegistrada[Peso de semilla sin limpiar (g)],MATCH(tblCosechaCalculada[[#This Row],[Identificador de observación]],tblCosechaRegistrada[Identificador de observación],0))</f>
        <v/>
      </c>
      <c r="I22" s="14">
        <f>INDEX(tblCosechaRegistrada[Peso de semilla limpia (g)],MATCH(tblCosechaCalculada[[#This Row],[Identificador de observación]],tblCosechaRegistrada[Identificador de observación],0))</f>
        <v/>
      </c>
      <c r="J22" s="14">
        <f>INDEX(tblCosechaRegistrada[Peso de 100 semillas - réplica 1 (g)],MATCH(tblCosechaCalculada[[#This Row],[Identificador de observación]],tblCosechaRegistrada[Identificador de observación],0))</f>
        <v/>
      </c>
      <c r="K22" s="14">
        <f>INDEX(tblCosechaRegistrada[Peso de 100 semillas - réplica 2 (g)],MATCH(tblCosechaCalculada[[#This Row],[Identificador de observación]],tblCosechaRegistrada[Identificador de observación],0))</f>
        <v/>
      </c>
      <c r="L22" s="14">
        <f>INDEX(tblCosechaRegistrada[Peso de 100 semillas - réplica 3 (g)],MATCH(tblCosechaCalculada[[#This Row],[Identificador de observación]],tblCosechaRegistrada[Identificador de observación],0))</f>
        <v/>
      </c>
      <c r="M22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22" s="14">
        <f>AVERAGE(tblCosechaCalculada[[#This Row],[Peso de 100 semillas - réplica 1 (g)]:[Peso de 100 semillas - réplica 3 (g)]])*10</f>
        <v/>
      </c>
      <c r="O22" s="14">
        <f>tblCosechaCalculada[[#This Row],[Panojas en el área cosechada (panojas)]]/INDEX(tblMetadatos[Valor],MATCH("harvest_sample_area_m2",tblMetadatos[Parámetro],0))</f>
        <v/>
      </c>
      <c r="P22" s="14">
        <f>tblCosechaCalculada[[#This Row],[Peso de semilla sin limpiar (g)]]*10/INDEX(tblMetadatos[Valor],MATCH("harvest_sample_area_m2",tblMetadatos[Parámetro],0))</f>
        <v/>
      </c>
      <c r="Q22" s="14">
        <f>tblCosechaCalculada[[#This Row],[Peso de semilla limpia (g)]]*10/INDEX(tblMetadatos[Valor],MATCH("harvest_sample_area_m2",tblMetadatos[Parámetro],0))</f>
        <v/>
      </c>
      <c r="R22" s="14">
        <f>tblCosechaCalculada[[#This Row],[Peso de semilla limpia (g)]]/tblCosechaCalculada[[#This Row],[Peso de semilla sin limpiar (g)]]</f>
        <v/>
      </c>
      <c r="S22" s="14">
        <f>100*(1-tblCosechaCalculada[[#This Row],[Recuperación de limpieza (proporción)]])</f>
        <v/>
      </c>
      <c r="T22" s="14">
        <f>1000*tblCosechaCalculada[[#This Row],[Peso de semilla limpia (g)]]/tblCosechaCalculada[[#This Row],[Peso de mil semillas (g)]]</f>
        <v/>
      </c>
      <c r="U22" s="14">
        <f>tblCosechaCalculada[[#This Row],[Número estimado de semillas (semillas)]]/tblCosechaCalculada[[#This Row],[Panojas en el área cosechada (panojas)]]</f>
        <v/>
      </c>
      <c r="V22" s="14">
        <f>100*tblCosechaCalculada[[#This Row],[Rendimiento limpio (kg/ha)]]/tblCosechaCalculada[[#This Row],[Biomasa final enlazada (kg MS/ha)]]</f>
        <v/>
      </c>
    </row>
    <row r="23">
      <c r="A23" s="6" t="inlineStr">
        <is>
          <t>harvest_20251112_secano_m1_r4</t>
        </is>
      </c>
      <c r="B23" s="13">
        <f>INDEX(tblCosechaRegistrada[Fecha],MATCH(tblCosechaCalculada[[#This Row],[Identificador de observación]],tblCosechaRegistrada[Identificador de observación],0))</f>
        <v/>
      </c>
      <c r="C23" s="12">
        <f>INDEX(tblCosechaRegistrada[Muestra],MATCH(tblCosechaCalculada[[#This Row],[Identificador de observación]],tblCosechaRegistrada[Identificador de observación],0))</f>
        <v/>
      </c>
      <c r="D23" s="6">
        <f>INDEX(tblCosechaRegistrada[Sector hídrico],MATCH(tblCosechaCalculada[[#This Row],[Identificador de observación]],tblCosechaRegistrada[Identificador de observación],0))</f>
        <v/>
      </c>
      <c r="E23" s="6">
        <f>INDEX(tblCosechaRegistrada[Tratamiento],MATCH(tblCosechaCalculada[[#This Row],[Identificador de observación]],tblCosechaRegistrada[Identificador de observación],0))</f>
        <v/>
      </c>
      <c r="F23" s="6">
        <f>INDEX(tblCosechaRegistrada[Bloque],MATCH(tblCosechaCalculada[[#This Row],[Identificador de observación]],tblCosechaRegistrada[Identificador de observación],0))</f>
        <v/>
      </c>
      <c r="G23" s="14">
        <f>INDEX(tblCosechaRegistrada[Panojas en el área cosechada (panojas)],MATCH(tblCosechaCalculada[[#This Row],[Identificador de observación]],tblCosechaRegistrada[Identificador de observación],0))</f>
        <v/>
      </c>
      <c r="H23" s="14">
        <f>INDEX(tblCosechaRegistrada[Peso de semilla sin limpiar (g)],MATCH(tblCosechaCalculada[[#This Row],[Identificador de observación]],tblCosechaRegistrada[Identificador de observación],0))</f>
        <v/>
      </c>
      <c r="I23" s="14">
        <f>INDEX(tblCosechaRegistrada[Peso de semilla limpia (g)],MATCH(tblCosechaCalculada[[#This Row],[Identificador de observación]],tblCosechaRegistrada[Identificador de observación],0))</f>
        <v/>
      </c>
      <c r="J23" s="14">
        <f>INDEX(tblCosechaRegistrada[Peso de 100 semillas - réplica 1 (g)],MATCH(tblCosechaCalculada[[#This Row],[Identificador de observación]],tblCosechaRegistrada[Identificador de observación],0))</f>
        <v/>
      </c>
      <c r="K23" s="14">
        <f>INDEX(tblCosechaRegistrada[Peso de 100 semillas - réplica 2 (g)],MATCH(tblCosechaCalculada[[#This Row],[Identificador de observación]],tblCosechaRegistrada[Identificador de observación],0))</f>
        <v/>
      </c>
      <c r="L23" s="14">
        <f>INDEX(tblCosechaRegistrada[Peso de 100 semillas - réplica 3 (g)],MATCH(tblCosechaCalculada[[#This Row],[Identificador de observación]],tblCosechaRegistrada[Identificador de observación],0))</f>
        <v/>
      </c>
      <c r="M23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23" s="14">
        <f>AVERAGE(tblCosechaCalculada[[#This Row],[Peso de 100 semillas - réplica 1 (g)]:[Peso de 100 semillas - réplica 3 (g)]])*10</f>
        <v/>
      </c>
      <c r="O23" s="14">
        <f>tblCosechaCalculada[[#This Row],[Panojas en el área cosechada (panojas)]]/INDEX(tblMetadatos[Valor],MATCH("harvest_sample_area_m2",tblMetadatos[Parámetro],0))</f>
        <v/>
      </c>
      <c r="P23" s="14">
        <f>tblCosechaCalculada[[#This Row],[Peso de semilla sin limpiar (g)]]*10/INDEX(tblMetadatos[Valor],MATCH("harvest_sample_area_m2",tblMetadatos[Parámetro],0))</f>
        <v/>
      </c>
      <c r="Q23" s="14">
        <f>tblCosechaCalculada[[#This Row],[Peso de semilla limpia (g)]]*10/INDEX(tblMetadatos[Valor],MATCH("harvest_sample_area_m2",tblMetadatos[Parámetro],0))</f>
        <v/>
      </c>
      <c r="R23" s="14">
        <f>tblCosechaCalculada[[#This Row],[Peso de semilla limpia (g)]]/tblCosechaCalculada[[#This Row],[Peso de semilla sin limpiar (g)]]</f>
        <v/>
      </c>
      <c r="S23" s="14">
        <f>100*(1-tblCosechaCalculada[[#This Row],[Recuperación de limpieza (proporción)]])</f>
        <v/>
      </c>
      <c r="T23" s="14">
        <f>1000*tblCosechaCalculada[[#This Row],[Peso de semilla limpia (g)]]/tblCosechaCalculada[[#This Row],[Peso de mil semillas (g)]]</f>
        <v/>
      </c>
      <c r="U23" s="14">
        <f>tblCosechaCalculada[[#This Row],[Número estimado de semillas (semillas)]]/tblCosechaCalculada[[#This Row],[Panojas en el área cosechada (panojas)]]</f>
        <v/>
      </c>
      <c r="V23" s="14">
        <f>100*tblCosechaCalculada[[#This Row],[Rendimiento limpio (kg/ha)]]/tblCosechaCalculada[[#This Row],[Biomasa final enlazada (kg MS/ha)]]</f>
        <v/>
      </c>
    </row>
    <row r="24">
      <c r="A24" s="6" t="inlineStr">
        <is>
          <t>harvest_20251112_secano_m0_r4</t>
        </is>
      </c>
      <c r="B24" s="13">
        <f>INDEX(tblCosechaRegistrada[Fecha],MATCH(tblCosechaCalculada[[#This Row],[Identificador de observación]],tblCosechaRegistrada[Identificador de observación],0))</f>
        <v/>
      </c>
      <c r="C24" s="12">
        <f>INDEX(tblCosechaRegistrada[Muestra],MATCH(tblCosechaCalculada[[#This Row],[Identificador de observación]],tblCosechaRegistrada[Identificador de observación],0))</f>
        <v/>
      </c>
      <c r="D24" s="6">
        <f>INDEX(tblCosechaRegistrada[Sector hídrico],MATCH(tblCosechaCalculada[[#This Row],[Identificador de observación]],tblCosechaRegistrada[Identificador de observación],0))</f>
        <v/>
      </c>
      <c r="E24" s="6">
        <f>INDEX(tblCosechaRegistrada[Tratamiento],MATCH(tblCosechaCalculada[[#This Row],[Identificador de observación]],tblCosechaRegistrada[Identificador de observación],0))</f>
        <v/>
      </c>
      <c r="F24" s="6">
        <f>INDEX(tblCosechaRegistrada[Bloque],MATCH(tblCosechaCalculada[[#This Row],[Identificador de observación]],tblCosechaRegistrada[Identificador de observación],0))</f>
        <v/>
      </c>
      <c r="G24" s="14">
        <f>INDEX(tblCosechaRegistrada[Panojas en el área cosechada (panojas)],MATCH(tblCosechaCalculada[[#This Row],[Identificador de observación]],tblCosechaRegistrada[Identificador de observación],0))</f>
        <v/>
      </c>
      <c r="H24" s="14">
        <f>INDEX(tblCosechaRegistrada[Peso de semilla sin limpiar (g)],MATCH(tblCosechaCalculada[[#This Row],[Identificador de observación]],tblCosechaRegistrada[Identificador de observación],0))</f>
        <v/>
      </c>
      <c r="I24" s="14">
        <f>INDEX(tblCosechaRegistrada[Peso de semilla limpia (g)],MATCH(tblCosechaCalculada[[#This Row],[Identificador de observación]],tblCosechaRegistrada[Identificador de observación],0))</f>
        <v/>
      </c>
      <c r="J24" s="14">
        <f>INDEX(tblCosechaRegistrada[Peso de 100 semillas - réplica 1 (g)],MATCH(tblCosechaCalculada[[#This Row],[Identificador de observación]],tblCosechaRegistrada[Identificador de observación],0))</f>
        <v/>
      </c>
      <c r="K24" s="14">
        <f>INDEX(tblCosechaRegistrada[Peso de 100 semillas - réplica 2 (g)],MATCH(tblCosechaCalculada[[#This Row],[Identificador de observación]],tblCosechaRegistrada[Identificador de observación],0))</f>
        <v/>
      </c>
      <c r="L24" s="14">
        <f>INDEX(tblCosechaRegistrada[Peso de 100 semillas - réplica 3 (g)],MATCH(tblCosechaCalculada[[#This Row],[Identificador de observación]],tblCosechaRegistrada[Identificador de observación],0))</f>
        <v/>
      </c>
      <c r="M24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24" s="14">
        <f>AVERAGE(tblCosechaCalculada[[#This Row],[Peso de 100 semillas - réplica 1 (g)]:[Peso de 100 semillas - réplica 3 (g)]])*10</f>
        <v/>
      </c>
      <c r="O24" s="14">
        <f>tblCosechaCalculada[[#This Row],[Panojas en el área cosechada (panojas)]]/INDEX(tblMetadatos[Valor],MATCH("harvest_sample_area_m2",tblMetadatos[Parámetro],0))</f>
        <v/>
      </c>
      <c r="P24" s="14">
        <f>tblCosechaCalculada[[#This Row],[Peso de semilla sin limpiar (g)]]*10/INDEX(tblMetadatos[Valor],MATCH("harvest_sample_area_m2",tblMetadatos[Parámetro],0))</f>
        <v/>
      </c>
      <c r="Q24" s="14">
        <f>tblCosechaCalculada[[#This Row],[Peso de semilla limpia (g)]]*10/INDEX(tblMetadatos[Valor],MATCH("harvest_sample_area_m2",tblMetadatos[Parámetro],0))</f>
        <v/>
      </c>
      <c r="R24" s="14">
        <f>tblCosechaCalculada[[#This Row],[Peso de semilla limpia (g)]]/tblCosechaCalculada[[#This Row],[Peso de semilla sin limpiar (g)]]</f>
        <v/>
      </c>
      <c r="S24" s="14">
        <f>100*(1-tblCosechaCalculada[[#This Row],[Recuperación de limpieza (proporción)]])</f>
        <v/>
      </c>
      <c r="T24" s="14">
        <f>1000*tblCosechaCalculada[[#This Row],[Peso de semilla limpia (g)]]/tblCosechaCalculada[[#This Row],[Peso de mil semillas (g)]]</f>
        <v/>
      </c>
      <c r="U24" s="14">
        <f>tblCosechaCalculada[[#This Row],[Número estimado de semillas (semillas)]]/tblCosechaCalculada[[#This Row],[Panojas en el área cosechada (panojas)]]</f>
        <v/>
      </c>
      <c r="V24" s="14">
        <f>100*tblCosechaCalculada[[#This Row],[Rendimiento limpio (kg/ha)]]/tblCosechaCalculada[[#This Row],[Biomasa final enlazada (kg MS/ha)]]</f>
        <v/>
      </c>
    </row>
    <row r="25">
      <c r="A25" s="6" t="inlineStr">
        <is>
          <t>harvest_20251112_secano_m5_r4</t>
        </is>
      </c>
      <c r="B25" s="13">
        <f>INDEX(tblCosechaRegistrada[Fecha],MATCH(tblCosechaCalculada[[#This Row],[Identificador de observación]],tblCosechaRegistrada[Identificador de observación],0))</f>
        <v/>
      </c>
      <c r="C25" s="12">
        <f>INDEX(tblCosechaRegistrada[Muestra],MATCH(tblCosechaCalculada[[#This Row],[Identificador de observación]],tblCosechaRegistrada[Identificador de observación],0))</f>
        <v/>
      </c>
      <c r="D25" s="6">
        <f>INDEX(tblCosechaRegistrada[Sector hídrico],MATCH(tblCosechaCalculada[[#This Row],[Identificador de observación]],tblCosechaRegistrada[Identificador de observación],0))</f>
        <v/>
      </c>
      <c r="E25" s="6">
        <f>INDEX(tblCosechaRegistrada[Tratamiento],MATCH(tblCosechaCalculada[[#This Row],[Identificador de observación]],tblCosechaRegistrada[Identificador de observación],0))</f>
        <v/>
      </c>
      <c r="F25" s="6">
        <f>INDEX(tblCosechaRegistrada[Bloque],MATCH(tblCosechaCalculada[[#This Row],[Identificador de observación]],tblCosechaRegistrada[Identificador de observación],0))</f>
        <v/>
      </c>
      <c r="G25" s="14">
        <f>INDEX(tblCosechaRegistrada[Panojas en el área cosechada (panojas)],MATCH(tblCosechaCalculada[[#This Row],[Identificador de observación]],tblCosechaRegistrada[Identificador de observación],0))</f>
        <v/>
      </c>
      <c r="H25" s="14">
        <f>INDEX(tblCosechaRegistrada[Peso de semilla sin limpiar (g)],MATCH(tblCosechaCalculada[[#This Row],[Identificador de observación]],tblCosechaRegistrada[Identificador de observación],0))</f>
        <v/>
      </c>
      <c r="I25" s="14">
        <f>INDEX(tblCosechaRegistrada[Peso de semilla limpia (g)],MATCH(tblCosechaCalculada[[#This Row],[Identificador de observación]],tblCosechaRegistrada[Identificador de observación],0))</f>
        <v/>
      </c>
      <c r="J25" s="14">
        <f>INDEX(tblCosechaRegistrada[Peso de 100 semillas - réplica 1 (g)],MATCH(tblCosechaCalculada[[#This Row],[Identificador de observación]],tblCosechaRegistrada[Identificador de observación],0))</f>
        <v/>
      </c>
      <c r="K25" s="14">
        <f>INDEX(tblCosechaRegistrada[Peso de 100 semillas - réplica 2 (g)],MATCH(tblCosechaCalculada[[#This Row],[Identificador de observación]],tblCosechaRegistrada[Identificador de observación],0))</f>
        <v/>
      </c>
      <c r="L25" s="14">
        <f>INDEX(tblCosechaRegistrada[Peso de 100 semillas - réplica 3 (g)],MATCH(tblCosechaCalculada[[#This Row],[Identificador de observación]],tblCosechaRegistrada[Identificador de observación],0))</f>
        <v/>
      </c>
      <c r="M25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25" s="14">
        <f>AVERAGE(tblCosechaCalculada[[#This Row],[Peso de 100 semillas - réplica 1 (g)]:[Peso de 100 semillas - réplica 3 (g)]])*10</f>
        <v/>
      </c>
      <c r="O25" s="14">
        <f>tblCosechaCalculada[[#This Row],[Panojas en el área cosechada (panojas)]]/INDEX(tblMetadatos[Valor],MATCH("harvest_sample_area_m2",tblMetadatos[Parámetro],0))</f>
        <v/>
      </c>
      <c r="P25" s="14">
        <f>tblCosechaCalculada[[#This Row],[Peso de semilla sin limpiar (g)]]*10/INDEX(tblMetadatos[Valor],MATCH("harvest_sample_area_m2",tblMetadatos[Parámetro],0))</f>
        <v/>
      </c>
      <c r="Q25" s="14">
        <f>tblCosechaCalculada[[#This Row],[Peso de semilla limpia (g)]]*10/INDEX(tblMetadatos[Valor],MATCH("harvest_sample_area_m2",tblMetadatos[Parámetro],0))</f>
        <v/>
      </c>
      <c r="R25" s="14">
        <f>tblCosechaCalculada[[#This Row],[Peso de semilla limpia (g)]]/tblCosechaCalculada[[#This Row],[Peso de semilla sin limpiar (g)]]</f>
        <v/>
      </c>
      <c r="S25" s="14">
        <f>100*(1-tblCosechaCalculada[[#This Row],[Recuperación de limpieza (proporción)]])</f>
        <v/>
      </c>
      <c r="T25" s="14">
        <f>1000*tblCosechaCalculada[[#This Row],[Peso de semilla limpia (g)]]/tblCosechaCalculada[[#This Row],[Peso de mil semillas (g)]]</f>
        <v/>
      </c>
      <c r="U25" s="14">
        <f>tblCosechaCalculada[[#This Row],[Número estimado de semillas (semillas)]]/tblCosechaCalculada[[#This Row],[Panojas en el área cosechada (panojas)]]</f>
        <v/>
      </c>
      <c r="V25" s="14">
        <f>100*tblCosechaCalculada[[#This Row],[Rendimiento limpio (kg/ha)]]/tblCosechaCalculada[[#This Row],[Biomasa final enlazada (kg MS/ha)]]</f>
        <v/>
      </c>
    </row>
    <row r="26">
      <c r="A26" s="6" t="inlineStr">
        <is>
          <t>harvest_20251112_secano_m4_r4</t>
        </is>
      </c>
      <c r="B26" s="13">
        <f>INDEX(tblCosechaRegistrada[Fecha],MATCH(tblCosechaCalculada[[#This Row],[Identificador de observación]],tblCosechaRegistrada[Identificador de observación],0))</f>
        <v/>
      </c>
      <c r="C26" s="12">
        <f>INDEX(tblCosechaRegistrada[Muestra],MATCH(tblCosechaCalculada[[#This Row],[Identificador de observación]],tblCosechaRegistrada[Identificador de observación],0))</f>
        <v/>
      </c>
      <c r="D26" s="6">
        <f>INDEX(tblCosechaRegistrada[Sector hídrico],MATCH(tblCosechaCalculada[[#This Row],[Identificador de observación]],tblCosechaRegistrada[Identificador de observación],0))</f>
        <v/>
      </c>
      <c r="E26" s="6">
        <f>INDEX(tblCosechaRegistrada[Tratamiento],MATCH(tblCosechaCalculada[[#This Row],[Identificador de observación]],tblCosechaRegistrada[Identificador de observación],0))</f>
        <v/>
      </c>
      <c r="F26" s="6">
        <f>INDEX(tblCosechaRegistrada[Bloque],MATCH(tblCosechaCalculada[[#This Row],[Identificador de observación]],tblCosechaRegistrada[Identificador de observación],0))</f>
        <v/>
      </c>
      <c r="G26" s="14">
        <f>INDEX(tblCosechaRegistrada[Panojas en el área cosechada (panojas)],MATCH(tblCosechaCalculada[[#This Row],[Identificador de observación]],tblCosechaRegistrada[Identificador de observación],0))</f>
        <v/>
      </c>
      <c r="H26" s="14">
        <f>INDEX(tblCosechaRegistrada[Peso de semilla sin limpiar (g)],MATCH(tblCosechaCalculada[[#This Row],[Identificador de observación]],tblCosechaRegistrada[Identificador de observación],0))</f>
        <v/>
      </c>
      <c r="I26" s="14">
        <f>INDEX(tblCosechaRegistrada[Peso de semilla limpia (g)],MATCH(tblCosechaCalculada[[#This Row],[Identificador de observación]],tblCosechaRegistrada[Identificador de observación],0))</f>
        <v/>
      </c>
      <c r="J26" s="14">
        <f>INDEX(tblCosechaRegistrada[Peso de 100 semillas - réplica 1 (g)],MATCH(tblCosechaCalculada[[#This Row],[Identificador de observación]],tblCosechaRegistrada[Identificador de observación],0))</f>
        <v/>
      </c>
      <c r="K26" s="14">
        <f>INDEX(tblCosechaRegistrada[Peso de 100 semillas - réplica 2 (g)],MATCH(tblCosechaCalculada[[#This Row],[Identificador de observación]],tblCosechaRegistrada[Identificador de observación],0))</f>
        <v/>
      </c>
      <c r="L26" s="14">
        <f>INDEX(tblCosechaRegistrada[Peso de 100 semillas - réplica 3 (g)],MATCH(tblCosechaCalculada[[#This Row],[Identificador de observación]],tblCosechaRegistrada[Identificador de observación],0))</f>
        <v/>
      </c>
      <c r="M26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26" s="14">
        <f>AVERAGE(tblCosechaCalculada[[#This Row],[Peso de 100 semillas - réplica 1 (g)]:[Peso de 100 semillas - réplica 3 (g)]])*10</f>
        <v/>
      </c>
      <c r="O26" s="14">
        <f>tblCosechaCalculada[[#This Row],[Panojas en el área cosechada (panojas)]]/INDEX(tblMetadatos[Valor],MATCH("harvest_sample_area_m2",tblMetadatos[Parámetro],0))</f>
        <v/>
      </c>
      <c r="P26" s="14">
        <f>tblCosechaCalculada[[#This Row],[Peso de semilla sin limpiar (g)]]*10/INDEX(tblMetadatos[Valor],MATCH("harvest_sample_area_m2",tblMetadatos[Parámetro],0))</f>
        <v/>
      </c>
      <c r="Q26" s="14">
        <f>tblCosechaCalculada[[#This Row],[Peso de semilla limpia (g)]]*10/INDEX(tblMetadatos[Valor],MATCH("harvest_sample_area_m2",tblMetadatos[Parámetro],0))</f>
        <v/>
      </c>
      <c r="R26" s="14">
        <f>tblCosechaCalculada[[#This Row],[Peso de semilla limpia (g)]]/tblCosechaCalculada[[#This Row],[Peso de semilla sin limpiar (g)]]</f>
        <v/>
      </c>
      <c r="S26" s="14">
        <f>100*(1-tblCosechaCalculada[[#This Row],[Recuperación de limpieza (proporción)]])</f>
        <v/>
      </c>
      <c r="T26" s="14">
        <f>1000*tblCosechaCalculada[[#This Row],[Peso de semilla limpia (g)]]/tblCosechaCalculada[[#This Row],[Peso de mil semillas (g)]]</f>
        <v/>
      </c>
      <c r="U26" s="14">
        <f>tblCosechaCalculada[[#This Row],[Número estimado de semillas (semillas)]]/tblCosechaCalculada[[#This Row],[Panojas en el área cosechada (panojas)]]</f>
        <v/>
      </c>
      <c r="V26" s="14">
        <f>100*tblCosechaCalculada[[#This Row],[Rendimiento limpio (kg/ha)]]/tblCosechaCalculada[[#This Row],[Biomasa final enlazada (kg MS/ha)]]</f>
        <v/>
      </c>
    </row>
    <row r="27">
      <c r="A27" s="6" t="inlineStr">
        <is>
          <t>harvest_20251112_secano_m3_r4</t>
        </is>
      </c>
      <c r="B27" s="13">
        <f>INDEX(tblCosechaRegistrada[Fecha],MATCH(tblCosechaCalculada[[#This Row],[Identificador de observación]],tblCosechaRegistrada[Identificador de observación],0))</f>
        <v/>
      </c>
      <c r="C27" s="12">
        <f>INDEX(tblCosechaRegistrada[Muestra],MATCH(tblCosechaCalculada[[#This Row],[Identificador de observación]],tblCosechaRegistrada[Identificador de observación],0))</f>
        <v/>
      </c>
      <c r="D27" s="6">
        <f>INDEX(tblCosechaRegistrada[Sector hídrico],MATCH(tblCosechaCalculada[[#This Row],[Identificador de observación]],tblCosechaRegistrada[Identificador de observación],0))</f>
        <v/>
      </c>
      <c r="E27" s="6">
        <f>INDEX(tblCosechaRegistrada[Tratamiento],MATCH(tblCosechaCalculada[[#This Row],[Identificador de observación]],tblCosechaRegistrada[Identificador de observación],0))</f>
        <v/>
      </c>
      <c r="F27" s="6">
        <f>INDEX(tblCosechaRegistrada[Bloque],MATCH(tblCosechaCalculada[[#This Row],[Identificador de observación]],tblCosechaRegistrada[Identificador de observación],0))</f>
        <v/>
      </c>
      <c r="G27" s="14">
        <f>INDEX(tblCosechaRegistrada[Panojas en el área cosechada (panojas)],MATCH(tblCosechaCalculada[[#This Row],[Identificador de observación]],tblCosechaRegistrada[Identificador de observación],0))</f>
        <v/>
      </c>
      <c r="H27" s="14">
        <f>INDEX(tblCosechaRegistrada[Peso de semilla sin limpiar (g)],MATCH(tblCosechaCalculada[[#This Row],[Identificador de observación]],tblCosechaRegistrada[Identificador de observación],0))</f>
        <v/>
      </c>
      <c r="I27" s="14">
        <f>INDEX(tblCosechaRegistrada[Peso de semilla limpia (g)],MATCH(tblCosechaCalculada[[#This Row],[Identificador de observación]],tblCosechaRegistrada[Identificador de observación],0))</f>
        <v/>
      </c>
      <c r="J27" s="14">
        <f>INDEX(tblCosechaRegistrada[Peso de 100 semillas - réplica 1 (g)],MATCH(tblCosechaCalculada[[#This Row],[Identificador de observación]],tblCosechaRegistrada[Identificador de observación],0))</f>
        <v/>
      </c>
      <c r="K27" s="14">
        <f>INDEX(tblCosechaRegistrada[Peso de 100 semillas - réplica 2 (g)],MATCH(tblCosechaCalculada[[#This Row],[Identificador de observación]],tblCosechaRegistrada[Identificador de observación],0))</f>
        <v/>
      </c>
      <c r="L27" s="14">
        <f>INDEX(tblCosechaRegistrada[Peso de 100 semillas - réplica 3 (g)],MATCH(tblCosechaCalculada[[#This Row],[Identificador de observación]],tblCosechaRegistrada[Identificador de observación],0))</f>
        <v/>
      </c>
      <c r="M27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27" s="14">
        <f>AVERAGE(tblCosechaCalculada[[#This Row],[Peso de 100 semillas - réplica 1 (g)]:[Peso de 100 semillas - réplica 3 (g)]])*10</f>
        <v/>
      </c>
      <c r="O27" s="14">
        <f>tblCosechaCalculada[[#This Row],[Panojas en el área cosechada (panojas)]]/INDEX(tblMetadatos[Valor],MATCH("harvest_sample_area_m2",tblMetadatos[Parámetro],0))</f>
        <v/>
      </c>
      <c r="P27" s="14">
        <f>tblCosechaCalculada[[#This Row],[Peso de semilla sin limpiar (g)]]*10/INDEX(tblMetadatos[Valor],MATCH("harvest_sample_area_m2",tblMetadatos[Parámetro],0))</f>
        <v/>
      </c>
      <c r="Q27" s="14">
        <f>tblCosechaCalculada[[#This Row],[Peso de semilla limpia (g)]]*10/INDEX(tblMetadatos[Valor],MATCH("harvest_sample_area_m2",tblMetadatos[Parámetro],0))</f>
        <v/>
      </c>
      <c r="R27" s="14">
        <f>tblCosechaCalculada[[#This Row],[Peso de semilla limpia (g)]]/tblCosechaCalculada[[#This Row],[Peso de semilla sin limpiar (g)]]</f>
        <v/>
      </c>
      <c r="S27" s="14">
        <f>100*(1-tblCosechaCalculada[[#This Row],[Recuperación de limpieza (proporción)]])</f>
        <v/>
      </c>
      <c r="T27" s="14">
        <f>1000*tblCosechaCalculada[[#This Row],[Peso de semilla limpia (g)]]/tblCosechaCalculada[[#This Row],[Peso de mil semillas (g)]]</f>
        <v/>
      </c>
      <c r="U27" s="14">
        <f>tblCosechaCalculada[[#This Row],[Número estimado de semillas (semillas)]]/tblCosechaCalculada[[#This Row],[Panojas en el área cosechada (panojas)]]</f>
        <v/>
      </c>
      <c r="V27" s="14">
        <f>100*tblCosechaCalculada[[#This Row],[Rendimiento limpio (kg/ha)]]/tblCosechaCalculada[[#This Row],[Biomasa final enlazada (kg MS/ha)]]</f>
        <v/>
      </c>
    </row>
    <row r="28">
      <c r="A28" s="6" t="inlineStr">
        <is>
          <t>harvest_20251112_secano_m2_r4</t>
        </is>
      </c>
      <c r="B28" s="13">
        <f>INDEX(tblCosechaRegistrada[Fecha],MATCH(tblCosechaCalculada[[#This Row],[Identificador de observación]],tblCosechaRegistrada[Identificador de observación],0))</f>
        <v/>
      </c>
      <c r="C28" s="12">
        <f>INDEX(tblCosechaRegistrada[Muestra],MATCH(tblCosechaCalculada[[#This Row],[Identificador de observación]],tblCosechaRegistrada[Identificador de observación],0))</f>
        <v/>
      </c>
      <c r="D28" s="6">
        <f>INDEX(tblCosechaRegistrada[Sector hídrico],MATCH(tblCosechaCalculada[[#This Row],[Identificador de observación]],tblCosechaRegistrada[Identificador de observación],0))</f>
        <v/>
      </c>
      <c r="E28" s="6">
        <f>INDEX(tblCosechaRegistrada[Tratamiento],MATCH(tblCosechaCalculada[[#This Row],[Identificador de observación]],tblCosechaRegistrada[Identificador de observación],0))</f>
        <v/>
      </c>
      <c r="F28" s="6">
        <f>INDEX(tblCosechaRegistrada[Bloque],MATCH(tblCosechaCalculada[[#This Row],[Identificador de observación]],tblCosechaRegistrada[Identificador de observación],0))</f>
        <v/>
      </c>
      <c r="G28" s="14">
        <f>INDEX(tblCosechaRegistrada[Panojas en el área cosechada (panojas)],MATCH(tblCosechaCalculada[[#This Row],[Identificador de observación]],tblCosechaRegistrada[Identificador de observación],0))</f>
        <v/>
      </c>
      <c r="H28" s="14">
        <f>INDEX(tblCosechaRegistrada[Peso de semilla sin limpiar (g)],MATCH(tblCosechaCalculada[[#This Row],[Identificador de observación]],tblCosechaRegistrada[Identificador de observación],0))</f>
        <v/>
      </c>
      <c r="I28" s="14">
        <f>INDEX(tblCosechaRegistrada[Peso de semilla limpia (g)],MATCH(tblCosechaCalculada[[#This Row],[Identificador de observación]],tblCosechaRegistrada[Identificador de observación],0))</f>
        <v/>
      </c>
      <c r="J28" s="14">
        <f>INDEX(tblCosechaRegistrada[Peso de 100 semillas - réplica 1 (g)],MATCH(tblCosechaCalculada[[#This Row],[Identificador de observación]],tblCosechaRegistrada[Identificador de observación],0))</f>
        <v/>
      </c>
      <c r="K28" s="14">
        <f>INDEX(tblCosechaRegistrada[Peso de 100 semillas - réplica 2 (g)],MATCH(tblCosechaCalculada[[#This Row],[Identificador de observación]],tblCosechaRegistrada[Identificador de observación],0))</f>
        <v/>
      </c>
      <c r="L28" s="14">
        <f>INDEX(tblCosechaRegistrada[Peso de 100 semillas - réplica 3 (g)],MATCH(tblCosechaCalculada[[#This Row],[Identificador de observación]],tblCosechaRegistrada[Identificador de observación],0))</f>
        <v/>
      </c>
      <c r="M28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28" s="14">
        <f>AVERAGE(tblCosechaCalculada[[#This Row],[Peso de 100 semillas - réplica 1 (g)]:[Peso de 100 semillas - réplica 3 (g)]])*10</f>
        <v/>
      </c>
      <c r="O28" s="14">
        <f>tblCosechaCalculada[[#This Row],[Panojas en el área cosechada (panojas)]]/INDEX(tblMetadatos[Valor],MATCH("harvest_sample_area_m2",tblMetadatos[Parámetro],0))</f>
        <v/>
      </c>
      <c r="P28" s="14">
        <f>tblCosechaCalculada[[#This Row],[Peso de semilla sin limpiar (g)]]*10/INDEX(tblMetadatos[Valor],MATCH("harvest_sample_area_m2",tblMetadatos[Parámetro],0))</f>
        <v/>
      </c>
      <c r="Q28" s="14">
        <f>tblCosechaCalculada[[#This Row],[Peso de semilla limpia (g)]]*10/INDEX(tblMetadatos[Valor],MATCH("harvest_sample_area_m2",tblMetadatos[Parámetro],0))</f>
        <v/>
      </c>
      <c r="R28" s="14">
        <f>tblCosechaCalculada[[#This Row],[Peso de semilla limpia (g)]]/tblCosechaCalculada[[#This Row],[Peso de semilla sin limpiar (g)]]</f>
        <v/>
      </c>
      <c r="S28" s="14">
        <f>100*(1-tblCosechaCalculada[[#This Row],[Recuperación de limpieza (proporción)]])</f>
        <v/>
      </c>
      <c r="T28" s="14">
        <f>1000*tblCosechaCalculada[[#This Row],[Peso de semilla limpia (g)]]/tblCosechaCalculada[[#This Row],[Peso de mil semillas (g)]]</f>
        <v/>
      </c>
      <c r="U28" s="14">
        <f>tblCosechaCalculada[[#This Row],[Número estimado de semillas (semillas)]]/tblCosechaCalculada[[#This Row],[Panojas en el área cosechada (panojas)]]</f>
        <v/>
      </c>
      <c r="V28" s="14">
        <f>100*tblCosechaCalculada[[#This Row],[Rendimiento limpio (kg/ha)]]/tblCosechaCalculada[[#This Row],[Biomasa final enlazada (kg MS/ha)]]</f>
        <v/>
      </c>
    </row>
    <row r="29">
      <c r="A29" s="6" t="inlineStr">
        <is>
          <t>harvest_20251112_riego_m0_r1</t>
        </is>
      </c>
      <c r="B29" s="13">
        <f>INDEX(tblCosechaRegistrada[Fecha],MATCH(tblCosechaCalculada[[#This Row],[Identificador de observación]],tblCosechaRegistrada[Identificador de observación],0))</f>
        <v/>
      </c>
      <c r="C29" s="12">
        <f>INDEX(tblCosechaRegistrada[Muestra],MATCH(tblCosechaCalculada[[#This Row],[Identificador de observación]],tblCosechaRegistrada[Identificador de observación],0))</f>
        <v/>
      </c>
      <c r="D29" s="6">
        <f>INDEX(tblCosechaRegistrada[Sector hídrico],MATCH(tblCosechaCalculada[[#This Row],[Identificador de observación]],tblCosechaRegistrada[Identificador de observación],0))</f>
        <v/>
      </c>
      <c r="E29" s="6">
        <f>INDEX(tblCosechaRegistrada[Tratamiento],MATCH(tblCosechaCalculada[[#This Row],[Identificador de observación]],tblCosechaRegistrada[Identificador de observación],0))</f>
        <v/>
      </c>
      <c r="F29" s="6">
        <f>INDEX(tblCosechaRegistrada[Bloque],MATCH(tblCosechaCalculada[[#This Row],[Identificador de observación]],tblCosechaRegistrada[Identificador de observación],0))</f>
        <v/>
      </c>
      <c r="G29" s="14">
        <f>INDEX(tblCosechaRegistrada[Panojas en el área cosechada (panojas)],MATCH(tblCosechaCalculada[[#This Row],[Identificador de observación]],tblCosechaRegistrada[Identificador de observación],0))</f>
        <v/>
      </c>
      <c r="H29" s="14">
        <f>INDEX(tblCosechaRegistrada[Peso de semilla sin limpiar (g)],MATCH(tblCosechaCalculada[[#This Row],[Identificador de observación]],tblCosechaRegistrada[Identificador de observación],0))</f>
        <v/>
      </c>
      <c r="I29" s="14">
        <f>INDEX(tblCosechaRegistrada[Peso de semilla limpia (g)],MATCH(tblCosechaCalculada[[#This Row],[Identificador de observación]],tblCosechaRegistrada[Identificador de observación],0))</f>
        <v/>
      </c>
      <c r="J29" s="14">
        <f>INDEX(tblCosechaRegistrada[Peso de 100 semillas - réplica 1 (g)],MATCH(tblCosechaCalculada[[#This Row],[Identificador de observación]],tblCosechaRegistrada[Identificador de observación],0))</f>
        <v/>
      </c>
      <c r="K29" s="14">
        <f>INDEX(tblCosechaRegistrada[Peso de 100 semillas - réplica 2 (g)],MATCH(tblCosechaCalculada[[#This Row],[Identificador de observación]],tblCosechaRegistrada[Identificador de observación],0))</f>
        <v/>
      </c>
      <c r="L29" s="14">
        <f>INDEX(tblCosechaRegistrada[Peso de 100 semillas - réplica 3 (g)],MATCH(tblCosechaCalculada[[#This Row],[Identificador de observación]],tblCosechaRegistrada[Identificador de observación],0))</f>
        <v/>
      </c>
      <c r="M29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29" s="14">
        <f>AVERAGE(tblCosechaCalculada[[#This Row],[Peso de 100 semillas - réplica 1 (g)]:[Peso de 100 semillas - réplica 3 (g)]])*10</f>
        <v/>
      </c>
      <c r="O29" s="14">
        <f>tblCosechaCalculada[[#This Row],[Panojas en el área cosechada (panojas)]]/INDEX(tblMetadatos[Valor],MATCH("harvest_sample_area_m2",tblMetadatos[Parámetro],0))</f>
        <v/>
      </c>
      <c r="P29" s="14">
        <f>tblCosechaCalculada[[#This Row],[Peso de semilla sin limpiar (g)]]*10/INDEX(tblMetadatos[Valor],MATCH("harvest_sample_area_m2",tblMetadatos[Parámetro],0))</f>
        <v/>
      </c>
      <c r="Q29" s="14">
        <f>tblCosechaCalculada[[#This Row],[Peso de semilla limpia (g)]]*10/INDEX(tblMetadatos[Valor],MATCH("harvest_sample_area_m2",tblMetadatos[Parámetro],0))</f>
        <v/>
      </c>
      <c r="R29" s="14">
        <f>tblCosechaCalculada[[#This Row],[Peso de semilla limpia (g)]]/tblCosechaCalculada[[#This Row],[Peso de semilla sin limpiar (g)]]</f>
        <v/>
      </c>
      <c r="S29" s="14">
        <f>100*(1-tblCosechaCalculada[[#This Row],[Recuperación de limpieza (proporción)]])</f>
        <v/>
      </c>
      <c r="T29" s="14">
        <f>1000*tblCosechaCalculada[[#This Row],[Peso de semilla limpia (g)]]/tblCosechaCalculada[[#This Row],[Peso de mil semillas (g)]]</f>
        <v/>
      </c>
      <c r="U29" s="14">
        <f>tblCosechaCalculada[[#This Row],[Número estimado de semillas (semillas)]]/tblCosechaCalculada[[#This Row],[Panojas en el área cosechada (panojas)]]</f>
        <v/>
      </c>
      <c r="V29" s="14">
        <f>100*tblCosechaCalculada[[#This Row],[Rendimiento limpio (kg/ha)]]/tblCosechaCalculada[[#This Row],[Biomasa final enlazada (kg MS/ha)]]</f>
        <v/>
      </c>
    </row>
    <row r="30">
      <c r="A30" s="6" t="inlineStr">
        <is>
          <t>harvest_20251112_riego_m1_r1</t>
        </is>
      </c>
      <c r="B30" s="13">
        <f>INDEX(tblCosechaRegistrada[Fecha],MATCH(tblCosechaCalculada[[#This Row],[Identificador de observación]],tblCosechaRegistrada[Identificador de observación],0))</f>
        <v/>
      </c>
      <c r="C30" s="12">
        <f>INDEX(tblCosechaRegistrada[Muestra],MATCH(tblCosechaCalculada[[#This Row],[Identificador de observación]],tblCosechaRegistrada[Identificador de observación],0))</f>
        <v/>
      </c>
      <c r="D30" s="6">
        <f>INDEX(tblCosechaRegistrada[Sector hídrico],MATCH(tblCosechaCalculada[[#This Row],[Identificador de observación]],tblCosechaRegistrada[Identificador de observación],0))</f>
        <v/>
      </c>
      <c r="E30" s="6">
        <f>INDEX(tblCosechaRegistrada[Tratamiento],MATCH(tblCosechaCalculada[[#This Row],[Identificador de observación]],tblCosechaRegistrada[Identificador de observación],0))</f>
        <v/>
      </c>
      <c r="F30" s="6">
        <f>INDEX(tblCosechaRegistrada[Bloque],MATCH(tblCosechaCalculada[[#This Row],[Identificador de observación]],tblCosechaRegistrada[Identificador de observación],0))</f>
        <v/>
      </c>
      <c r="G30" s="14">
        <f>INDEX(tblCosechaRegistrada[Panojas en el área cosechada (panojas)],MATCH(tblCosechaCalculada[[#This Row],[Identificador de observación]],tblCosechaRegistrada[Identificador de observación],0))</f>
        <v/>
      </c>
      <c r="H30" s="14">
        <f>INDEX(tblCosechaRegistrada[Peso de semilla sin limpiar (g)],MATCH(tblCosechaCalculada[[#This Row],[Identificador de observación]],tblCosechaRegistrada[Identificador de observación],0))</f>
        <v/>
      </c>
      <c r="I30" s="14">
        <f>INDEX(tblCosechaRegistrada[Peso de semilla limpia (g)],MATCH(tblCosechaCalculada[[#This Row],[Identificador de observación]],tblCosechaRegistrada[Identificador de observación],0))</f>
        <v/>
      </c>
      <c r="J30" s="14">
        <f>INDEX(tblCosechaRegistrada[Peso de 100 semillas - réplica 1 (g)],MATCH(tblCosechaCalculada[[#This Row],[Identificador de observación]],tblCosechaRegistrada[Identificador de observación],0))</f>
        <v/>
      </c>
      <c r="K30" s="14">
        <f>INDEX(tblCosechaRegistrada[Peso de 100 semillas - réplica 2 (g)],MATCH(tblCosechaCalculada[[#This Row],[Identificador de observación]],tblCosechaRegistrada[Identificador de observación],0))</f>
        <v/>
      </c>
      <c r="L30" s="14">
        <f>INDEX(tblCosechaRegistrada[Peso de 100 semillas - réplica 3 (g)],MATCH(tblCosechaCalculada[[#This Row],[Identificador de observación]],tblCosechaRegistrada[Identificador de observación],0))</f>
        <v/>
      </c>
      <c r="M30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30" s="14">
        <f>AVERAGE(tblCosechaCalculada[[#This Row],[Peso de 100 semillas - réplica 1 (g)]:[Peso de 100 semillas - réplica 3 (g)]])*10</f>
        <v/>
      </c>
      <c r="O30" s="14">
        <f>tblCosechaCalculada[[#This Row],[Panojas en el área cosechada (panojas)]]/INDEX(tblMetadatos[Valor],MATCH("harvest_sample_area_m2",tblMetadatos[Parámetro],0))</f>
        <v/>
      </c>
      <c r="P30" s="14">
        <f>tblCosechaCalculada[[#This Row],[Peso de semilla sin limpiar (g)]]*10/INDEX(tblMetadatos[Valor],MATCH("harvest_sample_area_m2",tblMetadatos[Parámetro],0))</f>
        <v/>
      </c>
      <c r="Q30" s="14">
        <f>tblCosechaCalculada[[#This Row],[Peso de semilla limpia (g)]]*10/INDEX(tblMetadatos[Valor],MATCH("harvest_sample_area_m2",tblMetadatos[Parámetro],0))</f>
        <v/>
      </c>
      <c r="R30" s="14">
        <f>tblCosechaCalculada[[#This Row],[Peso de semilla limpia (g)]]/tblCosechaCalculada[[#This Row],[Peso de semilla sin limpiar (g)]]</f>
        <v/>
      </c>
      <c r="S30" s="14">
        <f>100*(1-tblCosechaCalculada[[#This Row],[Recuperación de limpieza (proporción)]])</f>
        <v/>
      </c>
      <c r="T30" s="14">
        <f>1000*tblCosechaCalculada[[#This Row],[Peso de semilla limpia (g)]]/tblCosechaCalculada[[#This Row],[Peso de mil semillas (g)]]</f>
        <v/>
      </c>
      <c r="U30" s="14">
        <f>tblCosechaCalculada[[#This Row],[Número estimado de semillas (semillas)]]/tblCosechaCalculada[[#This Row],[Panojas en el área cosechada (panojas)]]</f>
        <v/>
      </c>
      <c r="V30" s="14">
        <f>100*tblCosechaCalculada[[#This Row],[Rendimiento limpio (kg/ha)]]/tblCosechaCalculada[[#This Row],[Biomasa final enlazada (kg MS/ha)]]</f>
        <v/>
      </c>
    </row>
    <row r="31">
      <c r="A31" s="6" t="inlineStr">
        <is>
          <t>harvest_20251112_riego_m2_r1</t>
        </is>
      </c>
      <c r="B31" s="13">
        <f>INDEX(tblCosechaRegistrada[Fecha],MATCH(tblCosechaCalculada[[#This Row],[Identificador de observación]],tblCosechaRegistrada[Identificador de observación],0))</f>
        <v/>
      </c>
      <c r="C31" s="12">
        <f>INDEX(tblCosechaRegistrada[Muestra],MATCH(tblCosechaCalculada[[#This Row],[Identificador de observación]],tblCosechaRegistrada[Identificador de observación],0))</f>
        <v/>
      </c>
      <c r="D31" s="6">
        <f>INDEX(tblCosechaRegistrada[Sector hídrico],MATCH(tblCosechaCalculada[[#This Row],[Identificador de observación]],tblCosechaRegistrada[Identificador de observación],0))</f>
        <v/>
      </c>
      <c r="E31" s="6">
        <f>INDEX(tblCosechaRegistrada[Tratamiento],MATCH(tblCosechaCalculada[[#This Row],[Identificador de observación]],tblCosechaRegistrada[Identificador de observación],0))</f>
        <v/>
      </c>
      <c r="F31" s="6">
        <f>INDEX(tblCosechaRegistrada[Bloque],MATCH(tblCosechaCalculada[[#This Row],[Identificador de observación]],tblCosechaRegistrada[Identificador de observación],0))</f>
        <v/>
      </c>
      <c r="G31" s="14">
        <f>INDEX(tblCosechaRegistrada[Panojas en el área cosechada (panojas)],MATCH(tblCosechaCalculada[[#This Row],[Identificador de observación]],tblCosechaRegistrada[Identificador de observación],0))</f>
        <v/>
      </c>
      <c r="H31" s="14">
        <f>INDEX(tblCosechaRegistrada[Peso de semilla sin limpiar (g)],MATCH(tblCosechaCalculada[[#This Row],[Identificador de observación]],tblCosechaRegistrada[Identificador de observación],0))</f>
        <v/>
      </c>
      <c r="I31" s="14">
        <f>INDEX(tblCosechaRegistrada[Peso de semilla limpia (g)],MATCH(tblCosechaCalculada[[#This Row],[Identificador de observación]],tblCosechaRegistrada[Identificador de observación],0))</f>
        <v/>
      </c>
      <c r="J31" s="14">
        <f>INDEX(tblCosechaRegistrada[Peso de 100 semillas - réplica 1 (g)],MATCH(tblCosechaCalculada[[#This Row],[Identificador de observación]],tblCosechaRegistrada[Identificador de observación],0))</f>
        <v/>
      </c>
      <c r="K31" s="14">
        <f>INDEX(tblCosechaRegistrada[Peso de 100 semillas - réplica 2 (g)],MATCH(tblCosechaCalculada[[#This Row],[Identificador de observación]],tblCosechaRegistrada[Identificador de observación],0))</f>
        <v/>
      </c>
      <c r="L31" s="14">
        <f>INDEX(tblCosechaRegistrada[Peso de 100 semillas - réplica 3 (g)],MATCH(tblCosechaCalculada[[#This Row],[Identificador de observación]],tblCosechaRegistrada[Identificador de observación],0))</f>
        <v/>
      </c>
      <c r="M31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31" s="14">
        <f>AVERAGE(tblCosechaCalculada[[#This Row],[Peso de 100 semillas - réplica 1 (g)]:[Peso de 100 semillas - réplica 3 (g)]])*10</f>
        <v/>
      </c>
      <c r="O31" s="14">
        <f>tblCosechaCalculada[[#This Row],[Panojas en el área cosechada (panojas)]]/INDEX(tblMetadatos[Valor],MATCH("harvest_sample_area_m2",tblMetadatos[Parámetro],0))</f>
        <v/>
      </c>
      <c r="P31" s="14">
        <f>tblCosechaCalculada[[#This Row],[Peso de semilla sin limpiar (g)]]*10/INDEX(tblMetadatos[Valor],MATCH("harvest_sample_area_m2",tblMetadatos[Parámetro],0))</f>
        <v/>
      </c>
      <c r="Q31" s="14">
        <f>tblCosechaCalculada[[#This Row],[Peso de semilla limpia (g)]]*10/INDEX(tblMetadatos[Valor],MATCH("harvest_sample_area_m2",tblMetadatos[Parámetro],0))</f>
        <v/>
      </c>
      <c r="R31" s="14">
        <f>tblCosechaCalculada[[#This Row],[Peso de semilla limpia (g)]]/tblCosechaCalculada[[#This Row],[Peso de semilla sin limpiar (g)]]</f>
        <v/>
      </c>
      <c r="S31" s="14">
        <f>100*(1-tblCosechaCalculada[[#This Row],[Recuperación de limpieza (proporción)]])</f>
        <v/>
      </c>
      <c r="T31" s="14">
        <f>1000*tblCosechaCalculada[[#This Row],[Peso de semilla limpia (g)]]/tblCosechaCalculada[[#This Row],[Peso de mil semillas (g)]]</f>
        <v/>
      </c>
      <c r="U31" s="14">
        <f>tblCosechaCalculada[[#This Row],[Número estimado de semillas (semillas)]]/tblCosechaCalculada[[#This Row],[Panojas en el área cosechada (panojas)]]</f>
        <v/>
      </c>
      <c r="V31" s="14">
        <f>100*tblCosechaCalculada[[#This Row],[Rendimiento limpio (kg/ha)]]/tblCosechaCalculada[[#This Row],[Biomasa final enlazada (kg MS/ha)]]</f>
        <v/>
      </c>
    </row>
    <row r="32">
      <c r="A32" s="6" t="inlineStr">
        <is>
          <t>harvest_20251112_riego_m3_r1</t>
        </is>
      </c>
      <c r="B32" s="13">
        <f>INDEX(tblCosechaRegistrada[Fecha],MATCH(tblCosechaCalculada[[#This Row],[Identificador de observación]],tblCosechaRegistrada[Identificador de observación],0))</f>
        <v/>
      </c>
      <c r="C32" s="12">
        <f>INDEX(tblCosechaRegistrada[Muestra],MATCH(tblCosechaCalculada[[#This Row],[Identificador de observación]],tblCosechaRegistrada[Identificador de observación],0))</f>
        <v/>
      </c>
      <c r="D32" s="6">
        <f>INDEX(tblCosechaRegistrada[Sector hídrico],MATCH(tblCosechaCalculada[[#This Row],[Identificador de observación]],tblCosechaRegistrada[Identificador de observación],0))</f>
        <v/>
      </c>
      <c r="E32" s="6">
        <f>INDEX(tblCosechaRegistrada[Tratamiento],MATCH(tblCosechaCalculada[[#This Row],[Identificador de observación]],tblCosechaRegistrada[Identificador de observación],0))</f>
        <v/>
      </c>
      <c r="F32" s="6">
        <f>INDEX(tblCosechaRegistrada[Bloque],MATCH(tblCosechaCalculada[[#This Row],[Identificador de observación]],tblCosechaRegistrada[Identificador de observación],0))</f>
        <v/>
      </c>
      <c r="G32" s="14">
        <f>INDEX(tblCosechaRegistrada[Panojas en el área cosechada (panojas)],MATCH(tblCosechaCalculada[[#This Row],[Identificador de observación]],tblCosechaRegistrada[Identificador de observación],0))</f>
        <v/>
      </c>
      <c r="H32" s="14">
        <f>INDEX(tblCosechaRegistrada[Peso de semilla sin limpiar (g)],MATCH(tblCosechaCalculada[[#This Row],[Identificador de observación]],tblCosechaRegistrada[Identificador de observación],0))</f>
        <v/>
      </c>
      <c r="I32" s="14">
        <f>INDEX(tblCosechaRegistrada[Peso de semilla limpia (g)],MATCH(tblCosechaCalculada[[#This Row],[Identificador de observación]],tblCosechaRegistrada[Identificador de observación],0))</f>
        <v/>
      </c>
      <c r="J32" s="14">
        <f>INDEX(tblCosechaRegistrada[Peso de 100 semillas - réplica 1 (g)],MATCH(tblCosechaCalculada[[#This Row],[Identificador de observación]],tblCosechaRegistrada[Identificador de observación],0))</f>
        <v/>
      </c>
      <c r="K32" s="14">
        <f>INDEX(tblCosechaRegistrada[Peso de 100 semillas - réplica 2 (g)],MATCH(tblCosechaCalculada[[#This Row],[Identificador de observación]],tblCosechaRegistrada[Identificador de observación],0))</f>
        <v/>
      </c>
      <c r="L32" s="14">
        <f>INDEX(tblCosechaRegistrada[Peso de 100 semillas - réplica 3 (g)],MATCH(tblCosechaCalculada[[#This Row],[Identificador de observación]],tblCosechaRegistrada[Identificador de observación],0))</f>
        <v/>
      </c>
      <c r="M32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32" s="14">
        <f>AVERAGE(tblCosechaCalculada[[#This Row],[Peso de 100 semillas - réplica 1 (g)]:[Peso de 100 semillas - réplica 3 (g)]])*10</f>
        <v/>
      </c>
      <c r="O32" s="14">
        <f>tblCosechaCalculada[[#This Row],[Panojas en el área cosechada (panojas)]]/INDEX(tblMetadatos[Valor],MATCH("harvest_sample_area_m2",tblMetadatos[Parámetro],0))</f>
        <v/>
      </c>
      <c r="P32" s="14">
        <f>tblCosechaCalculada[[#This Row],[Peso de semilla sin limpiar (g)]]*10/INDEX(tblMetadatos[Valor],MATCH("harvest_sample_area_m2",tblMetadatos[Parámetro],0))</f>
        <v/>
      </c>
      <c r="Q32" s="14">
        <f>tblCosechaCalculada[[#This Row],[Peso de semilla limpia (g)]]*10/INDEX(tblMetadatos[Valor],MATCH("harvest_sample_area_m2",tblMetadatos[Parámetro],0))</f>
        <v/>
      </c>
      <c r="R32" s="14">
        <f>tblCosechaCalculada[[#This Row],[Peso de semilla limpia (g)]]/tblCosechaCalculada[[#This Row],[Peso de semilla sin limpiar (g)]]</f>
        <v/>
      </c>
      <c r="S32" s="14">
        <f>100*(1-tblCosechaCalculada[[#This Row],[Recuperación de limpieza (proporción)]])</f>
        <v/>
      </c>
      <c r="T32" s="14">
        <f>1000*tblCosechaCalculada[[#This Row],[Peso de semilla limpia (g)]]/tblCosechaCalculada[[#This Row],[Peso de mil semillas (g)]]</f>
        <v/>
      </c>
      <c r="U32" s="14">
        <f>tblCosechaCalculada[[#This Row],[Número estimado de semillas (semillas)]]/tblCosechaCalculada[[#This Row],[Panojas en el área cosechada (panojas)]]</f>
        <v/>
      </c>
      <c r="V32" s="14">
        <f>100*tblCosechaCalculada[[#This Row],[Rendimiento limpio (kg/ha)]]/tblCosechaCalculada[[#This Row],[Biomasa final enlazada (kg MS/ha)]]</f>
        <v/>
      </c>
    </row>
    <row r="33">
      <c r="A33" s="6" t="inlineStr">
        <is>
          <t>harvest_20251112_riego_m4_r1</t>
        </is>
      </c>
      <c r="B33" s="13">
        <f>INDEX(tblCosechaRegistrada[Fecha],MATCH(tblCosechaCalculada[[#This Row],[Identificador de observación]],tblCosechaRegistrada[Identificador de observación],0))</f>
        <v/>
      </c>
      <c r="C33" s="12">
        <f>INDEX(tblCosechaRegistrada[Muestra],MATCH(tblCosechaCalculada[[#This Row],[Identificador de observación]],tblCosechaRegistrada[Identificador de observación],0))</f>
        <v/>
      </c>
      <c r="D33" s="6">
        <f>INDEX(tblCosechaRegistrada[Sector hídrico],MATCH(tblCosechaCalculada[[#This Row],[Identificador de observación]],tblCosechaRegistrada[Identificador de observación],0))</f>
        <v/>
      </c>
      <c r="E33" s="6">
        <f>INDEX(tblCosechaRegistrada[Tratamiento],MATCH(tblCosechaCalculada[[#This Row],[Identificador de observación]],tblCosechaRegistrada[Identificador de observación],0))</f>
        <v/>
      </c>
      <c r="F33" s="6">
        <f>INDEX(tblCosechaRegistrada[Bloque],MATCH(tblCosechaCalculada[[#This Row],[Identificador de observación]],tblCosechaRegistrada[Identificador de observación],0))</f>
        <v/>
      </c>
      <c r="G33" s="14">
        <f>INDEX(tblCosechaRegistrada[Panojas en el área cosechada (panojas)],MATCH(tblCosechaCalculada[[#This Row],[Identificador de observación]],tblCosechaRegistrada[Identificador de observación],0))</f>
        <v/>
      </c>
      <c r="H33" s="14">
        <f>INDEX(tblCosechaRegistrada[Peso de semilla sin limpiar (g)],MATCH(tblCosechaCalculada[[#This Row],[Identificador de observación]],tblCosechaRegistrada[Identificador de observación],0))</f>
        <v/>
      </c>
      <c r="I33" s="14">
        <f>INDEX(tblCosechaRegistrada[Peso de semilla limpia (g)],MATCH(tblCosechaCalculada[[#This Row],[Identificador de observación]],tblCosechaRegistrada[Identificador de observación],0))</f>
        <v/>
      </c>
      <c r="J33" s="14">
        <f>INDEX(tblCosechaRegistrada[Peso de 100 semillas - réplica 1 (g)],MATCH(tblCosechaCalculada[[#This Row],[Identificador de observación]],tblCosechaRegistrada[Identificador de observación],0))</f>
        <v/>
      </c>
      <c r="K33" s="14">
        <f>INDEX(tblCosechaRegistrada[Peso de 100 semillas - réplica 2 (g)],MATCH(tblCosechaCalculada[[#This Row],[Identificador de observación]],tblCosechaRegistrada[Identificador de observación],0))</f>
        <v/>
      </c>
      <c r="L33" s="14">
        <f>INDEX(tblCosechaRegistrada[Peso de 100 semillas - réplica 3 (g)],MATCH(tblCosechaCalculada[[#This Row],[Identificador de observación]],tblCosechaRegistrada[Identificador de observación],0))</f>
        <v/>
      </c>
      <c r="M33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33" s="14">
        <f>AVERAGE(tblCosechaCalculada[[#This Row],[Peso de 100 semillas - réplica 1 (g)]:[Peso de 100 semillas - réplica 3 (g)]])*10</f>
        <v/>
      </c>
      <c r="O33" s="14">
        <f>tblCosechaCalculada[[#This Row],[Panojas en el área cosechada (panojas)]]/INDEX(tblMetadatos[Valor],MATCH("harvest_sample_area_m2",tblMetadatos[Parámetro],0))</f>
        <v/>
      </c>
      <c r="P33" s="14">
        <f>tblCosechaCalculada[[#This Row],[Peso de semilla sin limpiar (g)]]*10/INDEX(tblMetadatos[Valor],MATCH("harvest_sample_area_m2",tblMetadatos[Parámetro],0))</f>
        <v/>
      </c>
      <c r="Q33" s="14">
        <f>tblCosechaCalculada[[#This Row],[Peso de semilla limpia (g)]]*10/INDEX(tblMetadatos[Valor],MATCH("harvest_sample_area_m2",tblMetadatos[Parámetro],0))</f>
        <v/>
      </c>
      <c r="R33" s="14">
        <f>tblCosechaCalculada[[#This Row],[Peso de semilla limpia (g)]]/tblCosechaCalculada[[#This Row],[Peso de semilla sin limpiar (g)]]</f>
        <v/>
      </c>
      <c r="S33" s="14">
        <f>100*(1-tblCosechaCalculada[[#This Row],[Recuperación de limpieza (proporción)]])</f>
        <v/>
      </c>
      <c r="T33" s="14">
        <f>1000*tblCosechaCalculada[[#This Row],[Peso de semilla limpia (g)]]/tblCosechaCalculada[[#This Row],[Peso de mil semillas (g)]]</f>
        <v/>
      </c>
      <c r="U33" s="14">
        <f>tblCosechaCalculada[[#This Row],[Número estimado de semillas (semillas)]]/tblCosechaCalculada[[#This Row],[Panojas en el área cosechada (panojas)]]</f>
        <v/>
      </c>
      <c r="V33" s="14">
        <f>100*tblCosechaCalculada[[#This Row],[Rendimiento limpio (kg/ha)]]/tblCosechaCalculada[[#This Row],[Biomasa final enlazada (kg MS/ha)]]</f>
        <v/>
      </c>
    </row>
    <row r="34">
      <c r="A34" s="6" t="inlineStr">
        <is>
          <t>harvest_20251112_riego_m5_r1</t>
        </is>
      </c>
      <c r="B34" s="13">
        <f>INDEX(tblCosechaRegistrada[Fecha],MATCH(tblCosechaCalculada[[#This Row],[Identificador de observación]],tblCosechaRegistrada[Identificador de observación],0))</f>
        <v/>
      </c>
      <c r="C34" s="12">
        <f>INDEX(tblCosechaRegistrada[Muestra],MATCH(tblCosechaCalculada[[#This Row],[Identificador de observación]],tblCosechaRegistrada[Identificador de observación],0))</f>
        <v/>
      </c>
      <c r="D34" s="6">
        <f>INDEX(tblCosechaRegistrada[Sector hídrico],MATCH(tblCosechaCalculada[[#This Row],[Identificador de observación]],tblCosechaRegistrada[Identificador de observación],0))</f>
        <v/>
      </c>
      <c r="E34" s="6">
        <f>INDEX(tblCosechaRegistrada[Tratamiento],MATCH(tblCosechaCalculada[[#This Row],[Identificador de observación]],tblCosechaRegistrada[Identificador de observación],0))</f>
        <v/>
      </c>
      <c r="F34" s="6">
        <f>INDEX(tblCosechaRegistrada[Bloque],MATCH(tblCosechaCalculada[[#This Row],[Identificador de observación]],tblCosechaRegistrada[Identificador de observación],0))</f>
        <v/>
      </c>
      <c r="G34" s="14">
        <f>INDEX(tblCosechaRegistrada[Panojas en el área cosechada (panojas)],MATCH(tblCosechaCalculada[[#This Row],[Identificador de observación]],tblCosechaRegistrada[Identificador de observación],0))</f>
        <v/>
      </c>
      <c r="H34" s="14">
        <f>INDEX(tblCosechaRegistrada[Peso de semilla sin limpiar (g)],MATCH(tblCosechaCalculada[[#This Row],[Identificador de observación]],tblCosechaRegistrada[Identificador de observación],0))</f>
        <v/>
      </c>
      <c r="I34" s="14">
        <f>INDEX(tblCosechaRegistrada[Peso de semilla limpia (g)],MATCH(tblCosechaCalculada[[#This Row],[Identificador de observación]],tblCosechaRegistrada[Identificador de observación],0))</f>
        <v/>
      </c>
      <c r="J34" s="14">
        <f>INDEX(tblCosechaRegistrada[Peso de 100 semillas - réplica 1 (g)],MATCH(tblCosechaCalculada[[#This Row],[Identificador de observación]],tblCosechaRegistrada[Identificador de observación],0))</f>
        <v/>
      </c>
      <c r="K34" s="14">
        <f>INDEX(tblCosechaRegistrada[Peso de 100 semillas - réplica 2 (g)],MATCH(tblCosechaCalculada[[#This Row],[Identificador de observación]],tblCosechaRegistrada[Identificador de observación],0))</f>
        <v/>
      </c>
      <c r="L34" s="14">
        <f>INDEX(tblCosechaRegistrada[Peso de 100 semillas - réplica 3 (g)],MATCH(tblCosechaCalculada[[#This Row],[Identificador de observación]],tblCosechaRegistrada[Identificador de observación],0))</f>
        <v/>
      </c>
      <c r="M34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34" s="14">
        <f>AVERAGE(tblCosechaCalculada[[#This Row],[Peso de 100 semillas - réplica 1 (g)]:[Peso de 100 semillas - réplica 3 (g)]])*10</f>
        <v/>
      </c>
      <c r="O34" s="14">
        <f>tblCosechaCalculada[[#This Row],[Panojas en el área cosechada (panojas)]]/INDEX(tblMetadatos[Valor],MATCH("harvest_sample_area_m2",tblMetadatos[Parámetro],0))</f>
        <v/>
      </c>
      <c r="P34" s="14">
        <f>tblCosechaCalculada[[#This Row],[Peso de semilla sin limpiar (g)]]*10/INDEX(tblMetadatos[Valor],MATCH("harvest_sample_area_m2",tblMetadatos[Parámetro],0))</f>
        <v/>
      </c>
      <c r="Q34" s="14">
        <f>tblCosechaCalculada[[#This Row],[Peso de semilla limpia (g)]]*10/INDEX(tblMetadatos[Valor],MATCH("harvest_sample_area_m2",tblMetadatos[Parámetro],0))</f>
        <v/>
      </c>
      <c r="R34" s="14">
        <f>tblCosechaCalculada[[#This Row],[Peso de semilla limpia (g)]]/tblCosechaCalculada[[#This Row],[Peso de semilla sin limpiar (g)]]</f>
        <v/>
      </c>
      <c r="S34" s="14">
        <f>100*(1-tblCosechaCalculada[[#This Row],[Recuperación de limpieza (proporción)]])</f>
        <v/>
      </c>
      <c r="T34" s="14">
        <f>1000*tblCosechaCalculada[[#This Row],[Peso de semilla limpia (g)]]/tblCosechaCalculada[[#This Row],[Peso de mil semillas (g)]]</f>
        <v/>
      </c>
      <c r="U34" s="14">
        <f>tblCosechaCalculada[[#This Row],[Número estimado de semillas (semillas)]]/tblCosechaCalculada[[#This Row],[Panojas en el área cosechada (panojas)]]</f>
        <v/>
      </c>
      <c r="V34" s="14">
        <f>100*tblCosechaCalculada[[#This Row],[Rendimiento limpio (kg/ha)]]/tblCosechaCalculada[[#This Row],[Biomasa final enlazada (kg MS/ha)]]</f>
        <v/>
      </c>
    </row>
    <row r="35">
      <c r="A35" s="6" t="inlineStr">
        <is>
          <t>harvest_20251112_riego_m3_r2</t>
        </is>
      </c>
      <c r="B35" s="13">
        <f>INDEX(tblCosechaRegistrada[Fecha],MATCH(tblCosechaCalculada[[#This Row],[Identificador de observación]],tblCosechaRegistrada[Identificador de observación],0))</f>
        <v/>
      </c>
      <c r="C35" s="12">
        <f>INDEX(tblCosechaRegistrada[Muestra],MATCH(tblCosechaCalculada[[#This Row],[Identificador de observación]],tblCosechaRegistrada[Identificador de observación],0))</f>
        <v/>
      </c>
      <c r="D35" s="6">
        <f>INDEX(tblCosechaRegistrada[Sector hídrico],MATCH(tblCosechaCalculada[[#This Row],[Identificador de observación]],tblCosechaRegistrada[Identificador de observación],0))</f>
        <v/>
      </c>
      <c r="E35" s="6">
        <f>INDEX(tblCosechaRegistrada[Tratamiento],MATCH(tblCosechaCalculada[[#This Row],[Identificador de observación]],tblCosechaRegistrada[Identificador de observación],0))</f>
        <v/>
      </c>
      <c r="F35" s="6">
        <f>INDEX(tblCosechaRegistrada[Bloque],MATCH(tblCosechaCalculada[[#This Row],[Identificador de observación]],tblCosechaRegistrada[Identificador de observación],0))</f>
        <v/>
      </c>
      <c r="G35" s="14">
        <f>INDEX(tblCosechaRegistrada[Panojas en el área cosechada (panojas)],MATCH(tblCosechaCalculada[[#This Row],[Identificador de observación]],tblCosechaRegistrada[Identificador de observación],0))</f>
        <v/>
      </c>
      <c r="H35" s="14">
        <f>INDEX(tblCosechaRegistrada[Peso de semilla sin limpiar (g)],MATCH(tblCosechaCalculada[[#This Row],[Identificador de observación]],tblCosechaRegistrada[Identificador de observación],0))</f>
        <v/>
      </c>
      <c r="I35" s="14">
        <f>INDEX(tblCosechaRegistrada[Peso de semilla limpia (g)],MATCH(tblCosechaCalculada[[#This Row],[Identificador de observación]],tblCosechaRegistrada[Identificador de observación],0))</f>
        <v/>
      </c>
      <c r="J35" s="14">
        <f>INDEX(tblCosechaRegistrada[Peso de 100 semillas - réplica 1 (g)],MATCH(tblCosechaCalculada[[#This Row],[Identificador de observación]],tblCosechaRegistrada[Identificador de observación],0))</f>
        <v/>
      </c>
      <c r="K35" s="14">
        <f>INDEX(tblCosechaRegistrada[Peso de 100 semillas - réplica 2 (g)],MATCH(tblCosechaCalculada[[#This Row],[Identificador de observación]],tblCosechaRegistrada[Identificador de observación],0))</f>
        <v/>
      </c>
      <c r="L35" s="14">
        <f>INDEX(tblCosechaRegistrada[Peso de 100 semillas - réplica 3 (g)],MATCH(tblCosechaCalculada[[#This Row],[Identificador de observación]],tblCosechaRegistrada[Identificador de observación],0))</f>
        <v/>
      </c>
      <c r="M35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35" s="14">
        <f>AVERAGE(tblCosechaCalculada[[#This Row],[Peso de 100 semillas - réplica 1 (g)]:[Peso de 100 semillas - réplica 3 (g)]])*10</f>
        <v/>
      </c>
      <c r="O35" s="14">
        <f>tblCosechaCalculada[[#This Row],[Panojas en el área cosechada (panojas)]]/INDEX(tblMetadatos[Valor],MATCH("harvest_sample_area_m2",tblMetadatos[Parámetro],0))</f>
        <v/>
      </c>
      <c r="P35" s="14">
        <f>tblCosechaCalculada[[#This Row],[Peso de semilla sin limpiar (g)]]*10/INDEX(tblMetadatos[Valor],MATCH("harvest_sample_area_m2",tblMetadatos[Parámetro],0))</f>
        <v/>
      </c>
      <c r="Q35" s="14">
        <f>tblCosechaCalculada[[#This Row],[Peso de semilla limpia (g)]]*10/INDEX(tblMetadatos[Valor],MATCH("harvest_sample_area_m2",tblMetadatos[Parámetro],0))</f>
        <v/>
      </c>
      <c r="R35" s="14">
        <f>tblCosechaCalculada[[#This Row],[Peso de semilla limpia (g)]]/tblCosechaCalculada[[#This Row],[Peso de semilla sin limpiar (g)]]</f>
        <v/>
      </c>
      <c r="S35" s="14">
        <f>100*(1-tblCosechaCalculada[[#This Row],[Recuperación de limpieza (proporción)]])</f>
        <v/>
      </c>
      <c r="T35" s="14">
        <f>1000*tblCosechaCalculada[[#This Row],[Peso de semilla limpia (g)]]/tblCosechaCalculada[[#This Row],[Peso de mil semillas (g)]]</f>
        <v/>
      </c>
      <c r="U35" s="14">
        <f>tblCosechaCalculada[[#This Row],[Número estimado de semillas (semillas)]]/tblCosechaCalculada[[#This Row],[Panojas en el área cosechada (panojas)]]</f>
        <v/>
      </c>
      <c r="V35" s="14">
        <f>100*tblCosechaCalculada[[#This Row],[Rendimiento limpio (kg/ha)]]/tblCosechaCalculada[[#This Row],[Biomasa final enlazada (kg MS/ha)]]</f>
        <v/>
      </c>
    </row>
    <row r="36">
      <c r="A36" s="6" t="inlineStr">
        <is>
          <t>harvest_20251112_riego_m2_r2</t>
        </is>
      </c>
      <c r="B36" s="13">
        <f>INDEX(tblCosechaRegistrada[Fecha],MATCH(tblCosechaCalculada[[#This Row],[Identificador de observación]],tblCosechaRegistrada[Identificador de observación],0))</f>
        <v/>
      </c>
      <c r="C36" s="12">
        <f>INDEX(tblCosechaRegistrada[Muestra],MATCH(tblCosechaCalculada[[#This Row],[Identificador de observación]],tblCosechaRegistrada[Identificador de observación],0))</f>
        <v/>
      </c>
      <c r="D36" s="6">
        <f>INDEX(tblCosechaRegistrada[Sector hídrico],MATCH(tblCosechaCalculada[[#This Row],[Identificador de observación]],tblCosechaRegistrada[Identificador de observación],0))</f>
        <v/>
      </c>
      <c r="E36" s="6">
        <f>INDEX(tblCosechaRegistrada[Tratamiento],MATCH(tblCosechaCalculada[[#This Row],[Identificador de observación]],tblCosechaRegistrada[Identificador de observación],0))</f>
        <v/>
      </c>
      <c r="F36" s="6">
        <f>INDEX(tblCosechaRegistrada[Bloque],MATCH(tblCosechaCalculada[[#This Row],[Identificador de observación]],tblCosechaRegistrada[Identificador de observación],0))</f>
        <v/>
      </c>
      <c r="G36" s="14">
        <f>INDEX(tblCosechaRegistrada[Panojas en el área cosechada (panojas)],MATCH(tblCosechaCalculada[[#This Row],[Identificador de observación]],tblCosechaRegistrada[Identificador de observación],0))</f>
        <v/>
      </c>
      <c r="H36" s="14">
        <f>INDEX(tblCosechaRegistrada[Peso de semilla sin limpiar (g)],MATCH(tblCosechaCalculada[[#This Row],[Identificador de observación]],tblCosechaRegistrada[Identificador de observación],0))</f>
        <v/>
      </c>
      <c r="I36" s="14">
        <f>INDEX(tblCosechaRegistrada[Peso de semilla limpia (g)],MATCH(tblCosechaCalculada[[#This Row],[Identificador de observación]],tblCosechaRegistrada[Identificador de observación],0))</f>
        <v/>
      </c>
      <c r="J36" s="14">
        <f>INDEX(tblCosechaRegistrada[Peso de 100 semillas - réplica 1 (g)],MATCH(tblCosechaCalculada[[#This Row],[Identificador de observación]],tblCosechaRegistrada[Identificador de observación],0))</f>
        <v/>
      </c>
      <c r="K36" s="14">
        <f>INDEX(tblCosechaRegistrada[Peso de 100 semillas - réplica 2 (g)],MATCH(tblCosechaCalculada[[#This Row],[Identificador de observación]],tblCosechaRegistrada[Identificador de observación],0))</f>
        <v/>
      </c>
      <c r="L36" s="14">
        <f>INDEX(tblCosechaRegistrada[Peso de 100 semillas - réplica 3 (g)],MATCH(tblCosechaCalculada[[#This Row],[Identificador de observación]],tblCosechaRegistrada[Identificador de observación],0))</f>
        <v/>
      </c>
      <c r="M36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36" s="14">
        <f>AVERAGE(tblCosechaCalculada[[#This Row],[Peso de 100 semillas - réplica 1 (g)]:[Peso de 100 semillas - réplica 3 (g)]])*10</f>
        <v/>
      </c>
      <c r="O36" s="14">
        <f>tblCosechaCalculada[[#This Row],[Panojas en el área cosechada (panojas)]]/INDEX(tblMetadatos[Valor],MATCH("harvest_sample_area_m2",tblMetadatos[Parámetro],0))</f>
        <v/>
      </c>
      <c r="P36" s="14">
        <f>tblCosechaCalculada[[#This Row],[Peso de semilla sin limpiar (g)]]*10/INDEX(tblMetadatos[Valor],MATCH("harvest_sample_area_m2",tblMetadatos[Parámetro],0))</f>
        <v/>
      </c>
      <c r="Q36" s="14">
        <f>tblCosechaCalculada[[#This Row],[Peso de semilla limpia (g)]]*10/INDEX(tblMetadatos[Valor],MATCH("harvest_sample_area_m2",tblMetadatos[Parámetro],0))</f>
        <v/>
      </c>
      <c r="R36" s="14">
        <f>tblCosechaCalculada[[#This Row],[Peso de semilla limpia (g)]]/tblCosechaCalculada[[#This Row],[Peso de semilla sin limpiar (g)]]</f>
        <v/>
      </c>
      <c r="S36" s="14">
        <f>100*(1-tblCosechaCalculada[[#This Row],[Recuperación de limpieza (proporción)]])</f>
        <v/>
      </c>
      <c r="T36" s="14">
        <f>1000*tblCosechaCalculada[[#This Row],[Peso de semilla limpia (g)]]/tblCosechaCalculada[[#This Row],[Peso de mil semillas (g)]]</f>
        <v/>
      </c>
      <c r="U36" s="14">
        <f>tblCosechaCalculada[[#This Row],[Número estimado de semillas (semillas)]]/tblCosechaCalculada[[#This Row],[Panojas en el área cosechada (panojas)]]</f>
        <v/>
      </c>
      <c r="V36" s="14">
        <f>100*tblCosechaCalculada[[#This Row],[Rendimiento limpio (kg/ha)]]/tblCosechaCalculada[[#This Row],[Biomasa final enlazada (kg MS/ha)]]</f>
        <v/>
      </c>
    </row>
    <row r="37">
      <c r="A37" s="6" t="inlineStr">
        <is>
          <t>harvest_20251112_riego_m4_r2</t>
        </is>
      </c>
      <c r="B37" s="13">
        <f>INDEX(tblCosechaRegistrada[Fecha],MATCH(tblCosechaCalculada[[#This Row],[Identificador de observación]],tblCosechaRegistrada[Identificador de observación],0))</f>
        <v/>
      </c>
      <c r="C37" s="12">
        <f>INDEX(tblCosechaRegistrada[Muestra],MATCH(tblCosechaCalculada[[#This Row],[Identificador de observación]],tblCosechaRegistrada[Identificador de observación],0))</f>
        <v/>
      </c>
      <c r="D37" s="6">
        <f>INDEX(tblCosechaRegistrada[Sector hídrico],MATCH(tblCosechaCalculada[[#This Row],[Identificador de observación]],tblCosechaRegistrada[Identificador de observación],0))</f>
        <v/>
      </c>
      <c r="E37" s="6">
        <f>INDEX(tblCosechaRegistrada[Tratamiento],MATCH(tblCosechaCalculada[[#This Row],[Identificador de observación]],tblCosechaRegistrada[Identificador de observación],0))</f>
        <v/>
      </c>
      <c r="F37" s="6">
        <f>INDEX(tblCosechaRegistrada[Bloque],MATCH(tblCosechaCalculada[[#This Row],[Identificador de observación]],tblCosechaRegistrada[Identificador de observación],0))</f>
        <v/>
      </c>
      <c r="G37" s="14">
        <f>INDEX(tblCosechaRegistrada[Panojas en el área cosechada (panojas)],MATCH(tblCosechaCalculada[[#This Row],[Identificador de observación]],tblCosechaRegistrada[Identificador de observación],0))</f>
        <v/>
      </c>
      <c r="H37" s="14">
        <f>INDEX(tblCosechaRegistrada[Peso de semilla sin limpiar (g)],MATCH(tblCosechaCalculada[[#This Row],[Identificador de observación]],tblCosechaRegistrada[Identificador de observación],0))</f>
        <v/>
      </c>
      <c r="I37" s="14">
        <f>INDEX(tblCosechaRegistrada[Peso de semilla limpia (g)],MATCH(tblCosechaCalculada[[#This Row],[Identificador de observación]],tblCosechaRegistrada[Identificador de observación],0))</f>
        <v/>
      </c>
      <c r="J37" s="14">
        <f>INDEX(tblCosechaRegistrada[Peso de 100 semillas - réplica 1 (g)],MATCH(tblCosechaCalculada[[#This Row],[Identificador de observación]],tblCosechaRegistrada[Identificador de observación],0))</f>
        <v/>
      </c>
      <c r="K37" s="14">
        <f>INDEX(tblCosechaRegistrada[Peso de 100 semillas - réplica 2 (g)],MATCH(tblCosechaCalculada[[#This Row],[Identificador de observación]],tblCosechaRegistrada[Identificador de observación],0))</f>
        <v/>
      </c>
      <c r="L37" s="14">
        <f>INDEX(tblCosechaRegistrada[Peso de 100 semillas - réplica 3 (g)],MATCH(tblCosechaCalculada[[#This Row],[Identificador de observación]],tblCosechaRegistrada[Identificador de observación],0))</f>
        <v/>
      </c>
      <c r="M37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37" s="14">
        <f>AVERAGE(tblCosechaCalculada[[#This Row],[Peso de 100 semillas - réplica 1 (g)]:[Peso de 100 semillas - réplica 3 (g)]])*10</f>
        <v/>
      </c>
      <c r="O37" s="14">
        <f>tblCosechaCalculada[[#This Row],[Panojas en el área cosechada (panojas)]]/INDEX(tblMetadatos[Valor],MATCH("harvest_sample_area_m2",tblMetadatos[Parámetro],0))</f>
        <v/>
      </c>
      <c r="P37" s="14">
        <f>tblCosechaCalculada[[#This Row],[Peso de semilla sin limpiar (g)]]*10/INDEX(tblMetadatos[Valor],MATCH("harvest_sample_area_m2",tblMetadatos[Parámetro],0))</f>
        <v/>
      </c>
      <c r="Q37" s="14">
        <f>tblCosechaCalculada[[#This Row],[Peso de semilla limpia (g)]]*10/INDEX(tblMetadatos[Valor],MATCH("harvest_sample_area_m2",tblMetadatos[Parámetro],0))</f>
        <v/>
      </c>
      <c r="R37" s="14">
        <f>tblCosechaCalculada[[#This Row],[Peso de semilla limpia (g)]]/tblCosechaCalculada[[#This Row],[Peso de semilla sin limpiar (g)]]</f>
        <v/>
      </c>
      <c r="S37" s="14">
        <f>100*(1-tblCosechaCalculada[[#This Row],[Recuperación de limpieza (proporción)]])</f>
        <v/>
      </c>
      <c r="T37" s="14">
        <f>1000*tblCosechaCalculada[[#This Row],[Peso de semilla limpia (g)]]/tblCosechaCalculada[[#This Row],[Peso de mil semillas (g)]]</f>
        <v/>
      </c>
      <c r="U37" s="14">
        <f>tblCosechaCalculada[[#This Row],[Número estimado de semillas (semillas)]]/tblCosechaCalculada[[#This Row],[Panojas en el área cosechada (panojas)]]</f>
        <v/>
      </c>
      <c r="V37" s="14">
        <f>100*tblCosechaCalculada[[#This Row],[Rendimiento limpio (kg/ha)]]/tblCosechaCalculada[[#This Row],[Biomasa final enlazada (kg MS/ha)]]</f>
        <v/>
      </c>
    </row>
    <row r="38">
      <c r="A38" s="6" t="inlineStr">
        <is>
          <t>harvest_20251112_riego_m0_r2</t>
        </is>
      </c>
      <c r="B38" s="13">
        <f>INDEX(tblCosechaRegistrada[Fecha],MATCH(tblCosechaCalculada[[#This Row],[Identificador de observación]],tblCosechaRegistrada[Identificador de observación],0))</f>
        <v/>
      </c>
      <c r="C38" s="12">
        <f>INDEX(tblCosechaRegistrada[Muestra],MATCH(tblCosechaCalculada[[#This Row],[Identificador de observación]],tblCosechaRegistrada[Identificador de observación],0))</f>
        <v/>
      </c>
      <c r="D38" s="6">
        <f>INDEX(tblCosechaRegistrada[Sector hídrico],MATCH(tblCosechaCalculada[[#This Row],[Identificador de observación]],tblCosechaRegistrada[Identificador de observación],0))</f>
        <v/>
      </c>
      <c r="E38" s="6">
        <f>INDEX(tblCosechaRegistrada[Tratamiento],MATCH(tblCosechaCalculada[[#This Row],[Identificador de observación]],tblCosechaRegistrada[Identificador de observación],0))</f>
        <v/>
      </c>
      <c r="F38" s="6">
        <f>INDEX(tblCosechaRegistrada[Bloque],MATCH(tblCosechaCalculada[[#This Row],[Identificador de observación]],tblCosechaRegistrada[Identificador de observación],0))</f>
        <v/>
      </c>
      <c r="G38" s="14">
        <f>INDEX(tblCosechaRegistrada[Panojas en el área cosechada (panojas)],MATCH(tblCosechaCalculada[[#This Row],[Identificador de observación]],tblCosechaRegistrada[Identificador de observación],0))</f>
        <v/>
      </c>
      <c r="H38" s="14">
        <f>INDEX(tblCosechaRegistrada[Peso de semilla sin limpiar (g)],MATCH(tblCosechaCalculada[[#This Row],[Identificador de observación]],tblCosechaRegistrada[Identificador de observación],0))</f>
        <v/>
      </c>
      <c r="I38" s="14">
        <f>INDEX(tblCosechaRegistrada[Peso de semilla limpia (g)],MATCH(tblCosechaCalculada[[#This Row],[Identificador de observación]],tblCosechaRegistrada[Identificador de observación],0))</f>
        <v/>
      </c>
      <c r="J38" s="14">
        <f>INDEX(tblCosechaRegistrada[Peso de 100 semillas - réplica 1 (g)],MATCH(tblCosechaCalculada[[#This Row],[Identificador de observación]],tblCosechaRegistrada[Identificador de observación],0))</f>
        <v/>
      </c>
      <c r="K38" s="14">
        <f>INDEX(tblCosechaRegistrada[Peso de 100 semillas - réplica 2 (g)],MATCH(tblCosechaCalculada[[#This Row],[Identificador de observación]],tblCosechaRegistrada[Identificador de observación],0))</f>
        <v/>
      </c>
      <c r="L38" s="14">
        <f>INDEX(tblCosechaRegistrada[Peso de 100 semillas - réplica 3 (g)],MATCH(tblCosechaCalculada[[#This Row],[Identificador de observación]],tblCosechaRegistrada[Identificador de observación],0))</f>
        <v/>
      </c>
      <c r="M38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38" s="14">
        <f>AVERAGE(tblCosechaCalculada[[#This Row],[Peso de 100 semillas - réplica 1 (g)]:[Peso de 100 semillas - réplica 3 (g)]])*10</f>
        <v/>
      </c>
      <c r="O38" s="14">
        <f>tblCosechaCalculada[[#This Row],[Panojas en el área cosechada (panojas)]]/INDEX(tblMetadatos[Valor],MATCH("harvest_sample_area_m2",tblMetadatos[Parámetro],0))</f>
        <v/>
      </c>
      <c r="P38" s="14">
        <f>tblCosechaCalculada[[#This Row],[Peso de semilla sin limpiar (g)]]*10/INDEX(tblMetadatos[Valor],MATCH("harvest_sample_area_m2",tblMetadatos[Parámetro],0))</f>
        <v/>
      </c>
      <c r="Q38" s="14">
        <f>tblCosechaCalculada[[#This Row],[Peso de semilla limpia (g)]]*10/INDEX(tblMetadatos[Valor],MATCH("harvest_sample_area_m2",tblMetadatos[Parámetro],0))</f>
        <v/>
      </c>
      <c r="R38" s="14">
        <f>tblCosechaCalculada[[#This Row],[Peso de semilla limpia (g)]]/tblCosechaCalculada[[#This Row],[Peso de semilla sin limpiar (g)]]</f>
        <v/>
      </c>
      <c r="S38" s="14">
        <f>100*(1-tblCosechaCalculada[[#This Row],[Recuperación de limpieza (proporción)]])</f>
        <v/>
      </c>
      <c r="T38" s="14">
        <f>1000*tblCosechaCalculada[[#This Row],[Peso de semilla limpia (g)]]/tblCosechaCalculada[[#This Row],[Peso de mil semillas (g)]]</f>
        <v/>
      </c>
      <c r="U38" s="14">
        <f>tblCosechaCalculada[[#This Row],[Número estimado de semillas (semillas)]]/tblCosechaCalculada[[#This Row],[Panojas en el área cosechada (panojas)]]</f>
        <v/>
      </c>
      <c r="V38" s="14">
        <f>100*tblCosechaCalculada[[#This Row],[Rendimiento limpio (kg/ha)]]/tblCosechaCalculada[[#This Row],[Biomasa final enlazada (kg MS/ha)]]</f>
        <v/>
      </c>
    </row>
    <row r="39">
      <c r="A39" s="6" t="inlineStr">
        <is>
          <t>harvest_20251112_riego_m1_r2</t>
        </is>
      </c>
      <c r="B39" s="13">
        <f>INDEX(tblCosechaRegistrada[Fecha],MATCH(tblCosechaCalculada[[#This Row],[Identificador de observación]],tblCosechaRegistrada[Identificador de observación],0))</f>
        <v/>
      </c>
      <c r="C39" s="12">
        <f>INDEX(tblCosechaRegistrada[Muestra],MATCH(tblCosechaCalculada[[#This Row],[Identificador de observación]],tblCosechaRegistrada[Identificador de observación],0))</f>
        <v/>
      </c>
      <c r="D39" s="6">
        <f>INDEX(tblCosechaRegistrada[Sector hídrico],MATCH(tblCosechaCalculada[[#This Row],[Identificador de observación]],tblCosechaRegistrada[Identificador de observación],0))</f>
        <v/>
      </c>
      <c r="E39" s="6">
        <f>INDEX(tblCosechaRegistrada[Tratamiento],MATCH(tblCosechaCalculada[[#This Row],[Identificador de observación]],tblCosechaRegistrada[Identificador de observación],0))</f>
        <v/>
      </c>
      <c r="F39" s="6">
        <f>INDEX(tblCosechaRegistrada[Bloque],MATCH(tblCosechaCalculada[[#This Row],[Identificador de observación]],tblCosechaRegistrada[Identificador de observación],0))</f>
        <v/>
      </c>
      <c r="G39" s="14">
        <f>INDEX(tblCosechaRegistrada[Panojas en el área cosechada (panojas)],MATCH(tblCosechaCalculada[[#This Row],[Identificador de observación]],tblCosechaRegistrada[Identificador de observación],0))</f>
        <v/>
      </c>
      <c r="H39" s="14">
        <f>INDEX(tblCosechaRegistrada[Peso de semilla sin limpiar (g)],MATCH(tblCosechaCalculada[[#This Row],[Identificador de observación]],tblCosechaRegistrada[Identificador de observación],0))</f>
        <v/>
      </c>
      <c r="I39" s="14">
        <f>INDEX(tblCosechaRegistrada[Peso de semilla limpia (g)],MATCH(tblCosechaCalculada[[#This Row],[Identificador de observación]],tblCosechaRegistrada[Identificador de observación],0))</f>
        <v/>
      </c>
      <c r="J39" s="14">
        <f>INDEX(tblCosechaRegistrada[Peso de 100 semillas - réplica 1 (g)],MATCH(tblCosechaCalculada[[#This Row],[Identificador de observación]],tblCosechaRegistrada[Identificador de observación],0))</f>
        <v/>
      </c>
      <c r="K39" s="14">
        <f>INDEX(tblCosechaRegistrada[Peso de 100 semillas - réplica 2 (g)],MATCH(tblCosechaCalculada[[#This Row],[Identificador de observación]],tblCosechaRegistrada[Identificador de observación],0))</f>
        <v/>
      </c>
      <c r="L39" s="14">
        <f>INDEX(tblCosechaRegistrada[Peso de 100 semillas - réplica 3 (g)],MATCH(tblCosechaCalculada[[#This Row],[Identificador de observación]],tblCosechaRegistrada[Identificador de observación],0))</f>
        <v/>
      </c>
      <c r="M39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39" s="14">
        <f>AVERAGE(tblCosechaCalculada[[#This Row],[Peso de 100 semillas - réplica 1 (g)]:[Peso de 100 semillas - réplica 3 (g)]])*10</f>
        <v/>
      </c>
      <c r="O39" s="14">
        <f>tblCosechaCalculada[[#This Row],[Panojas en el área cosechada (panojas)]]/INDEX(tblMetadatos[Valor],MATCH("harvest_sample_area_m2",tblMetadatos[Parámetro],0))</f>
        <v/>
      </c>
      <c r="P39" s="14">
        <f>tblCosechaCalculada[[#This Row],[Peso de semilla sin limpiar (g)]]*10/INDEX(tblMetadatos[Valor],MATCH("harvest_sample_area_m2",tblMetadatos[Parámetro],0))</f>
        <v/>
      </c>
      <c r="Q39" s="14">
        <f>tblCosechaCalculada[[#This Row],[Peso de semilla limpia (g)]]*10/INDEX(tblMetadatos[Valor],MATCH("harvest_sample_area_m2",tblMetadatos[Parámetro],0))</f>
        <v/>
      </c>
      <c r="R39" s="14">
        <f>tblCosechaCalculada[[#This Row],[Peso de semilla limpia (g)]]/tblCosechaCalculada[[#This Row],[Peso de semilla sin limpiar (g)]]</f>
        <v/>
      </c>
      <c r="S39" s="14">
        <f>100*(1-tblCosechaCalculada[[#This Row],[Recuperación de limpieza (proporción)]])</f>
        <v/>
      </c>
      <c r="T39" s="14">
        <f>1000*tblCosechaCalculada[[#This Row],[Peso de semilla limpia (g)]]/tblCosechaCalculada[[#This Row],[Peso de mil semillas (g)]]</f>
        <v/>
      </c>
      <c r="U39" s="14">
        <f>tblCosechaCalculada[[#This Row],[Número estimado de semillas (semillas)]]/tblCosechaCalculada[[#This Row],[Panojas en el área cosechada (panojas)]]</f>
        <v/>
      </c>
      <c r="V39" s="14">
        <f>100*tblCosechaCalculada[[#This Row],[Rendimiento limpio (kg/ha)]]/tblCosechaCalculada[[#This Row],[Biomasa final enlazada (kg MS/ha)]]</f>
        <v/>
      </c>
    </row>
    <row r="40">
      <c r="A40" s="6" t="inlineStr">
        <is>
          <t>harvest_20251112_riego_m5_r2</t>
        </is>
      </c>
      <c r="B40" s="13">
        <f>INDEX(tblCosechaRegistrada[Fecha],MATCH(tblCosechaCalculada[[#This Row],[Identificador de observación]],tblCosechaRegistrada[Identificador de observación],0))</f>
        <v/>
      </c>
      <c r="C40" s="12">
        <f>INDEX(tblCosechaRegistrada[Muestra],MATCH(tblCosechaCalculada[[#This Row],[Identificador de observación]],tblCosechaRegistrada[Identificador de observación],0))</f>
        <v/>
      </c>
      <c r="D40" s="6">
        <f>INDEX(tblCosechaRegistrada[Sector hídrico],MATCH(tblCosechaCalculada[[#This Row],[Identificador de observación]],tblCosechaRegistrada[Identificador de observación],0))</f>
        <v/>
      </c>
      <c r="E40" s="6">
        <f>INDEX(tblCosechaRegistrada[Tratamiento],MATCH(tblCosechaCalculada[[#This Row],[Identificador de observación]],tblCosechaRegistrada[Identificador de observación],0))</f>
        <v/>
      </c>
      <c r="F40" s="6">
        <f>INDEX(tblCosechaRegistrada[Bloque],MATCH(tblCosechaCalculada[[#This Row],[Identificador de observación]],tblCosechaRegistrada[Identificador de observación],0))</f>
        <v/>
      </c>
      <c r="G40" s="14">
        <f>INDEX(tblCosechaRegistrada[Panojas en el área cosechada (panojas)],MATCH(tblCosechaCalculada[[#This Row],[Identificador de observación]],tblCosechaRegistrada[Identificador de observación],0))</f>
        <v/>
      </c>
      <c r="H40" s="14">
        <f>INDEX(tblCosechaRegistrada[Peso de semilla sin limpiar (g)],MATCH(tblCosechaCalculada[[#This Row],[Identificador de observación]],tblCosechaRegistrada[Identificador de observación],0))</f>
        <v/>
      </c>
      <c r="I40" s="14">
        <f>INDEX(tblCosechaRegistrada[Peso de semilla limpia (g)],MATCH(tblCosechaCalculada[[#This Row],[Identificador de observación]],tblCosechaRegistrada[Identificador de observación],0))</f>
        <v/>
      </c>
      <c r="J40" s="14">
        <f>INDEX(tblCosechaRegistrada[Peso de 100 semillas - réplica 1 (g)],MATCH(tblCosechaCalculada[[#This Row],[Identificador de observación]],tblCosechaRegistrada[Identificador de observación],0))</f>
        <v/>
      </c>
      <c r="K40" s="14">
        <f>INDEX(tblCosechaRegistrada[Peso de 100 semillas - réplica 2 (g)],MATCH(tblCosechaCalculada[[#This Row],[Identificador de observación]],tblCosechaRegistrada[Identificador de observación],0))</f>
        <v/>
      </c>
      <c r="L40" s="14">
        <f>INDEX(tblCosechaRegistrada[Peso de 100 semillas - réplica 3 (g)],MATCH(tblCosechaCalculada[[#This Row],[Identificador de observación]],tblCosechaRegistrada[Identificador de observación],0))</f>
        <v/>
      </c>
      <c r="M40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40" s="14">
        <f>AVERAGE(tblCosechaCalculada[[#This Row],[Peso de 100 semillas - réplica 1 (g)]:[Peso de 100 semillas - réplica 3 (g)]])*10</f>
        <v/>
      </c>
      <c r="O40" s="14">
        <f>tblCosechaCalculada[[#This Row],[Panojas en el área cosechada (panojas)]]/INDEX(tblMetadatos[Valor],MATCH("harvest_sample_area_m2",tblMetadatos[Parámetro],0))</f>
        <v/>
      </c>
      <c r="P40" s="14">
        <f>tblCosechaCalculada[[#This Row],[Peso de semilla sin limpiar (g)]]*10/INDEX(tblMetadatos[Valor],MATCH("harvest_sample_area_m2",tblMetadatos[Parámetro],0))</f>
        <v/>
      </c>
      <c r="Q40" s="14">
        <f>tblCosechaCalculada[[#This Row],[Peso de semilla limpia (g)]]*10/INDEX(tblMetadatos[Valor],MATCH("harvest_sample_area_m2",tblMetadatos[Parámetro],0))</f>
        <v/>
      </c>
      <c r="R40" s="14">
        <f>tblCosechaCalculada[[#This Row],[Peso de semilla limpia (g)]]/tblCosechaCalculada[[#This Row],[Peso de semilla sin limpiar (g)]]</f>
        <v/>
      </c>
      <c r="S40" s="14">
        <f>100*(1-tblCosechaCalculada[[#This Row],[Recuperación de limpieza (proporción)]])</f>
        <v/>
      </c>
      <c r="T40" s="14">
        <f>1000*tblCosechaCalculada[[#This Row],[Peso de semilla limpia (g)]]/tblCosechaCalculada[[#This Row],[Peso de mil semillas (g)]]</f>
        <v/>
      </c>
      <c r="U40" s="14">
        <f>tblCosechaCalculada[[#This Row],[Número estimado de semillas (semillas)]]/tblCosechaCalculada[[#This Row],[Panojas en el área cosechada (panojas)]]</f>
        <v/>
      </c>
      <c r="V40" s="14">
        <f>100*tblCosechaCalculada[[#This Row],[Rendimiento limpio (kg/ha)]]/tblCosechaCalculada[[#This Row],[Biomasa final enlazada (kg MS/ha)]]</f>
        <v/>
      </c>
    </row>
    <row r="41">
      <c r="A41" s="6" t="inlineStr">
        <is>
          <t>harvest_20251112_riego_m3_r3</t>
        </is>
      </c>
      <c r="B41" s="13">
        <f>INDEX(tblCosechaRegistrada[Fecha],MATCH(tblCosechaCalculada[[#This Row],[Identificador de observación]],tblCosechaRegistrada[Identificador de observación],0))</f>
        <v/>
      </c>
      <c r="C41" s="12">
        <f>INDEX(tblCosechaRegistrada[Muestra],MATCH(tblCosechaCalculada[[#This Row],[Identificador de observación]],tblCosechaRegistrada[Identificador de observación],0))</f>
        <v/>
      </c>
      <c r="D41" s="6">
        <f>INDEX(tblCosechaRegistrada[Sector hídrico],MATCH(tblCosechaCalculada[[#This Row],[Identificador de observación]],tblCosechaRegistrada[Identificador de observación],0))</f>
        <v/>
      </c>
      <c r="E41" s="6">
        <f>INDEX(tblCosechaRegistrada[Tratamiento],MATCH(tblCosechaCalculada[[#This Row],[Identificador de observación]],tblCosechaRegistrada[Identificador de observación],0))</f>
        <v/>
      </c>
      <c r="F41" s="6">
        <f>INDEX(tblCosechaRegistrada[Bloque],MATCH(tblCosechaCalculada[[#This Row],[Identificador de observación]],tblCosechaRegistrada[Identificador de observación],0))</f>
        <v/>
      </c>
      <c r="G41" s="14">
        <f>INDEX(tblCosechaRegistrada[Panojas en el área cosechada (panojas)],MATCH(tblCosechaCalculada[[#This Row],[Identificador de observación]],tblCosechaRegistrada[Identificador de observación],0))</f>
        <v/>
      </c>
      <c r="H41" s="14">
        <f>INDEX(tblCosechaRegistrada[Peso de semilla sin limpiar (g)],MATCH(tblCosechaCalculada[[#This Row],[Identificador de observación]],tblCosechaRegistrada[Identificador de observación],0))</f>
        <v/>
      </c>
      <c r="I41" s="14">
        <f>INDEX(tblCosechaRegistrada[Peso de semilla limpia (g)],MATCH(tblCosechaCalculada[[#This Row],[Identificador de observación]],tblCosechaRegistrada[Identificador de observación],0))</f>
        <v/>
      </c>
      <c r="J41" s="14">
        <f>INDEX(tblCosechaRegistrada[Peso de 100 semillas - réplica 1 (g)],MATCH(tblCosechaCalculada[[#This Row],[Identificador de observación]],tblCosechaRegistrada[Identificador de observación],0))</f>
        <v/>
      </c>
      <c r="K41" s="14">
        <f>INDEX(tblCosechaRegistrada[Peso de 100 semillas - réplica 2 (g)],MATCH(tblCosechaCalculada[[#This Row],[Identificador de observación]],tblCosechaRegistrada[Identificador de observación],0))</f>
        <v/>
      </c>
      <c r="L41" s="14">
        <f>INDEX(tblCosechaRegistrada[Peso de 100 semillas - réplica 3 (g)],MATCH(tblCosechaCalculada[[#This Row],[Identificador de observación]],tblCosechaRegistrada[Identificador de observación],0))</f>
        <v/>
      </c>
      <c r="M41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41" s="14">
        <f>AVERAGE(tblCosechaCalculada[[#This Row],[Peso de 100 semillas - réplica 1 (g)]:[Peso de 100 semillas - réplica 3 (g)]])*10</f>
        <v/>
      </c>
      <c r="O41" s="14">
        <f>tblCosechaCalculada[[#This Row],[Panojas en el área cosechada (panojas)]]/INDEX(tblMetadatos[Valor],MATCH("harvest_sample_area_m2",tblMetadatos[Parámetro],0))</f>
        <v/>
      </c>
      <c r="P41" s="14">
        <f>tblCosechaCalculada[[#This Row],[Peso de semilla sin limpiar (g)]]*10/INDEX(tblMetadatos[Valor],MATCH("harvest_sample_area_m2",tblMetadatos[Parámetro],0))</f>
        <v/>
      </c>
      <c r="Q41" s="14">
        <f>tblCosechaCalculada[[#This Row],[Peso de semilla limpia (g)]]*10/INDEX(tblMetadatos[Valor],MATCH("harvest_sample_area_m2",tblMetadatos[Parámetro],0))</f>
        <v/>
      </c>
      <c r="R41" s="14">
        <f>tblCosechaCalculada[[#This Row],[Peso de semilla limpia (g)]]/tblCosechaCalculada[[#This Row],[Peso de semilla sin limpiar (g)]]</f>
        <v/>
      </c>
      <c r="S41" s="14">
        <f>100*(1-tblCosechaCalculada[[#This Row],[Recuperación de limpieza (proporción)]])</f>
        <v/>
      </c>
      <c r="T41" s="14">
        <f>1000*tblCosechaCalculada[[#This Row],[Peso de semilla limpia (g)]]/tblCosechaCalculada[[#This Row],[Peso de mil semillas (g)]]</f>
        <v/>
      </c>
      <c r="U41" s="14">
        <f>tblCosechaCalculada[[#This Row],[Número estimado de semillas (semillas)]]/tblCosechaCalculada[[#This Row],[Panojas en el área cosechada (panojas)]]</f>
        <v/>
      </c>
      <c r="V41" s="14">
        <f>100*tblCosechaCalculada[[#This Row],[Rendimiento limpio (kg/ha)]]/tblCosechaCalculada[[#This Row],[Biomasa final enlazada (kg MS/ha)]]</f>
        <v/>
      </c>
    </row>
    <row r="42">
      <c r="A42" s="6" t="inlineStr">
        <is>
          <t>harvest_20251112_riego_m4_r3</t>
        </is>
      </c>
      <c r="B42" s="13">
        <f>INDEX(tblCosechaRegistrada[Fecha],MATCH(tblCosechaCalculada[[#This Row],[Identificador de observación]],tblCosechaRegistrada[Identificador de observación],0))</f>
        <v/>
      </c>
      <c r="C42" s="12">
        <f>INDEX(tblCosechaRegistrada[Muestra],MATCH(tblCosechaCalculada[[#This Row],[Identificador de observación]],tblCosechaRegistrada[Identificador de observación],0))</f>
        <v/>
      </c>
      <c r="D42" s="6">
        <f>INDEX(tblCosechaRegistrada[Sector hídrico],MATCH(tblCosechaCalculada[[#This Row],[Identificador de observación]],tblCosechaRegistrada[Identificador de observación],0))</f>
        <v/>
      </c>
      <c r="E42" s="6">
        <f>INDEX(tblCosechaRegistrada[Tratamiento],MATCH(tblCosechaCalculada[[#This Row],[Identificador de observación]],tblCosechaRegistrada[Identificador de observación],0))</f>
        <v/>
      </c>
      <c r="F42" s="6">
        <f>INDEX(tblCosechaRegistrada[Bloque],MATCH(tblCosechaCalculada[[#This Row],[Identificador de observación]],tblCosechaRegistrada[Identificador de observación],0))</f>
        <v/>
      </c>
      <c r="G42" s="14">
        <f>INDEX(tblCosechaRegistrada[Panojas en el área cosechada (panojas)],MATCH(tblCosechaCalculada[[#This Row],[Identificador de observación]],tblCosechaRegistrada[Identificador de observación],0))</f>
        <v/>
      </c>
      <c r="H42" s="14">
        <f>INDEX(tblCosechaRegistrada[Peso de semilla sin limpiar (g)],MATCH(tblCosechaCalculada[[#This Row],[Identificador de observación]],tblCosechaRegistrada[Identificador de observación],0))</f>
        <v/>
      </c>
      <c r="I42" s="14">
        <f>INDEX(tblCosechaRegistrada[Peso de semilla limpia (g)],MATCH(tblCosechaCalculada[[#This Row],[Identificador de observación]],tblCosechaRegistrada[Identificador de observación],0))</f>
        <v/>
      </c>
      <c r="J42" s="14">
        <f>INDEX(tblCosechaRegistrada[Peso de 100 semillas - réplica 1 (g)],MATCH(tblCosechaCalculada[[#This Row],[Identificador de observación]],tblCosechaRegistrada[Identificador de observación],0))</f>
        <v/>
      </c>
      <c r="K42" s="14">
        <f>INDEX(tblCosechaRegistrada[Peso de 100 semillas - réplica 2 (g)],MATCH(tblCosechaCalculada[[#This Row],[Identificador de observación]],tblCosechaRegistrada[Identificador de observación],0))</f>
        <v/>
      </c>
      <c r="L42" s="14">
        <f>INDEX(tblCosechaRegistrada[Peso de 100 semillas - réplica 3 (g)],MATCH(tblCosechaCalculada[[#This Row],[Identificador de observación]],tblCosechaRegistrada[Identificador de observación],0))</f>
        <v/>
      </c>
      <c r="M42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42" s="14">
        <f>AVERAGE(tblCosechaCalculada[[#This Row],[Peso de 100 semillas - réplica 1 (g)]:[Peso de 100 semillas - réplica 3 (g)]])*10</f>
        <v/>
      </c>
      <c r="O42" s="14">
        <f>tblCosechaCalculada[[#This Row],[Panojas en el área cosechada (panojas)]]/INDEX(tblMetadatos[Valor],MATCH("harvest_sample_area_m2",tblMetadatos[Parámetro],0))</f>
        <v/>
      </c>
      <c r="P42" s="14">
        <f>tblCosechaCalculada[[#This Row],[Peso de semilla sin limpiar (g)]]*10/INDEX(tblMetadatos[Valor],MATCH("harvest_sample_area_m2",tblMetadatos[Parámetro],0))</f>
        <v/>
      </c>
      <c r="Q42" s="14">
        <f>tblCosechaCalculada[[#This Row],[Peso de semilla limpia (g)]]*10/INDEX(tblMetadatos[Valor],MATCH("harvest_sample_area_m2",tblMetadatos[Parámetro],0))</f>
        <v/>
      </c>
      <c r="R42" s="14">
        <f>tblCosechaCalculada[[#This Row],[Peso de semilla limpia (g)]]/tblCosechaCalculada[[#This Row],[Peso de semilla sin limpiar (g)]]</f>
        <v/>
      </c>
      <c r="S42" s="14">
        <f>100*(1-tblCosechaCalculada[[#This Row],[Recuperación de limpieza (proporción)]])</f>
        <v/>
      </c>
      <c r="T42" s="14">
        <f>1000*tblCosechaCalculada[[#This Row],[Peso de semilla limpia (g)]]/tblCosechaCalculada[[#This Row],[Peso de mil semillas (g)]]</f>
        <v/>
      </c>
      <c r="U42" s="14">
        <f>tblCosechaCalculada[[#This Row],[Número estimado de semillas (semillas)]]/tblCosechaCalculada[[#This Row],[Panojas en el área cosechada (panojas)]]</f>
        <v/>
      </c>
      <c r="V42" s="14">
        <f>100*tblCosechaCalculada[[#This Row],[Rendimiento limpio (kg/ha)]]/tblCosechaCalculada[[#This Row],[Biomasa final enlazada (kg MS/ha)]]</f>
        <v/>
      </c>
    </row>
    <row r="43">
      <c r="A43" s="6" t="inlineStr">
        <is>
          <t>harvest_20251112_riego_m0_r3</t>
        </is>
      </c>
      <c r="B43" s="13">
        <f>INDEX(tblCosechaRegistrada[Fecha],MATCH(tblCosechaCalculada[[#This Row],[Identificador de observación]],tblCosechaRegistrada[Identificador de observación],0))</f>
        <v/>
      </c>
      <c r="C43" s="12">
        <f>INDEX(tblCosechaRegistrada[Muestra],MATCH(tblCosechaCalculada[[#This Row],[Identificador de observación]],tblCosechaRegistrada[Identificador de observación],0))</f>
        <v/>
      </c>
      <c r="D43" s="6">
        <f>INDEX(tblCosechaRegistrada[Sector hídrico],MATCH(tblCosechaCalculada[[#This Row],[Identificador de observación]],tblCosechaRegistrada[Identificador de observación],0))</f>
        <v/>
      </c>
      <c r="E43" s="6">
        <f>INDEX(tblCosechaRegistrada[Tratamiento],MATCH(tblCosechaCalculada[[#This Row],[Identificador de observación]],tblCosechaRegistrada[Identificador de observación],0))</f>
        <v/>
      </c>
      <c r="F43" s="6">
        <f>INDEX(tblCosechaRegistrada[Bloque],MATCH(tblCosechaCalculada[[#This Row],[Identificador de observación]],tblCosechaRegistrada[Identificador de observación],0))</f>
        <v/>
      </c>
      <c r="G43" s="14">
        <f>INDEX(tblCosechaRegistrada[Panojas en el área cosechada (panojas)],MATCH(tblCosechaCalculada[[#This Row],[Identificador de observación]],tblCosechaRegistrada[Identificador de observación],0))</f>
        <v/>
      </c>
      <c r="H43" s="14">
        <f>INDEX(tblCosechaRegistrada[Peso de semilla sin limpiar (g)],MATCH(tblCosechaCalculada[[#This Row],[Identificador de observación]],tblCosechaRegistrada[Identificador de observación],0))</f>
        <v/>
      </c>
      <c r="I43" s="14">
        <f>INDEX(tblCosechaRegistrada[Peso de semilla limpia (g)],MATCH(tblCosechaCalculada[[#This Row],[Identificador de observación]],tblCosechaRegistrada[Identificador de observación],0))</f>
        <v/>
      </c>
      <c r="J43" s="14">
        <f>INDEX(tblCosechaRegistrada[Peso de 100 semillas - réplica 1 (g)],MATCH(tblCosechaCalculada[[#This Row],[Identificador de observación]],tblCosechaRegistrada[Identificador de observación],0))</f>
        <v/>
      </c>
      <c r="K43" s="14">
        <f>INDEX(tblCosechaRegistrada[Peso de 100 semillas - réplica 2 (g)],MATCH(tblCosechaCalculada[[#This Row],[Identificador de observación]],tblCosechaRegistrada[Identificador de observación],0))</f>
        <v/>
      </c>
      <c r="L43" s="14">
        <f>INDEX(tblCosechaRegistrada[Peso de 100 semillas - réplica 3 (g)],MATCH(tblCosechaCalculada[[#This Row],[Identificador de observación]],tblCosechaRegistrada[Identificador de observación],0))</f>
        <v/>
      </c>
      <c r="M43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43" s="14">
        <f>AVERAGE(tblCosechaCalculada[[#This Row],[Peso de 100 semillas - réplica 1 (g)]:[Peso de 100 semillas - réplica 3 (g)]])*10</f>
        <v/>
      </c>
      <c r="O43" s="14">
        <f>tblCosechaCalculada[[#This Row],[Panojas en el área cosechada (panojas)]]/INDEX(tblMetadatos[Valor],MATCH("harvest_sample_area_m2",tblMetadatos[Parámetro],0))</f>
        <v/>
      </c>
      <c r="P43" s="14">
        <f>tblCosechaCalculada[[#This Row],[Peso de semilla sin limpiar (g)]]*10/INDEX(tblMetadatos[Valor],MATCH("harvest_sample_area_m2",tblMetadatos[Parámetro],0))</f>
        <v/>
      </c>
      <c r="Q43" s="14">
        <f>tblCosechaCalculada[[#This Row],[Peso de semilla limpia (g)]]*10/INDEX(tblMetadatos[Valor],MATCH("harvest_sample_area_m2",tblMetadatos[Parámetro],0))</f>
        <v/>
      </c>
      <c r="R43" s="14">
        <f>tblCosechaCalculada[[#This Row],[Peso de semilla limpia (g)]]/tblCosechaCalculada[[#This Row],[Peso de semilla sin limpiar (g)]]</f>
        <v/>
      </c>
      <c r="S43" s="14">
        <f>100*(1-tblCosechaCalculada[[#This Row],[Recuperación de limpieza (proporción)]])</f>
        <v/>
      </c>
      <c r="T43" s="14">
        <f>1000*tblCosechaCalculada[[#This Row],[Peso de semilla limpia (g)]]/tblCosechaCalculada[[#This Row],[Peso de mil semillas (g)]]</f>
        <v/>
      </c>
      <c r="U43" s="14">
        <f>tblCosechaCalculada[[#This Row],[Número estimado de semillas (semillas)]]/tblCosechaCalculada[[#This Row],[Panojas en el área cosechada (panojas)]]</f>
        <v/>
      </c>
      <c r="V43" s="14">
        <f>100*tblCosechaCalculada[[#This Row],[Rendimiento limpio (kg/ha)]]/tblCosechaCalculada[[#This Row],[Biomasa final enlazada (kg MS/ha)]]</f>
        <v/>
      </c>
    </row>
    <row r="44">
      <c r="A44" s="6" t="inlineStr">
        <is>
          <t>harvest_20251112_riego_m1_r3</t>
        </is>
      </c>
      <c r="B44" s="13">
        <f>INDEX(tblCosechaRegistrada[Fecha],MATCH(tblCosechaCalculada[[#This Row],[Identificador de observación]],tblCosechaRegistrada[Identificador de observación],0))</f>
        <v/>
      </c>
      <c r="C44" s="12">
        <f>INDEX(tblCosechaRegistrada[Muestra],MATCH(tblCosechaCalculada[[#This Row],[Identificador de observación]],tblCosechaRegistrada[Identificador de observación],0))</f>
        <v/>
      </c>
      <c r="D44" s="6">
        <f>INDEX(tblCosechaRegistrada[Sector hídrico],MATCH(tblCosechaCalculada[[#This Row],[Identificador de observación]],tblCosechaRegistrada[Identificador de observación],0))</f>
        <v/>
      </c>
      <c r="E44" s="6">
        <f>INDEX(tblCosechaRegistrada[Tratamiento],MATCH(tblCosechaCalculada[[#This Row],[Identificador de observación]],tblCosechaRegistrada[Identificador de observación],0))</f>
        <v/>
      </c>
      <c r="F44" s="6">
        <f>INDEX(tblCosechaRegistrada[Bloque],MATCH(tblCosechaCalculada[[#This Row],[Identificador de observación]],tblCosechaRegistrada[Identificador de observación],0))</f>
        <v/>
      </c>
      <c r="G44" s="14">
        <f>INDEX(tblCosechaRegistrada[Panojas en el área cosechada (panojas)],MATCH(tblCosechaCalculada[[#This Row],[Identificador de observación]],tblCosechaRegistrada[Identificador de observación],0))</f>
        <v/>
      </c>
      <c r="H44" s="14">
        <f>INDEX(tblCosechaRegistrada[Peso de semilla sin limpiar (g)],MATCH(tblCosechaCalculada[[#This Row],[Identificador de observación]],tblCosechaRegistrada[Identificador de observación],0))</f>
        <v/>
      </c>
      <c r="I44" s="14">
        <f>INDEX(tblCosechaRegistrada[Peso de semilla limpia (g)],MATCH(tblCosechaCalculada[[#This Row],[Identificador de observación]],tblCosechaRegistrada[Identificador de observación],0))</f>
        <v/>
      </c>
      <c r="J44" s="14">
        <f>INDEX(tblCosechaRegistrada[Peso de 100 semillas - réplica 1 (g)],MATCH(tblCosechaCalculada[[#This Row],[Identificador de observación]],tblCosechaRegistrada[Identificador de observación],0))</f>
        <v/>
      </c>
      <c r="K44" s="14">
        <f>INDEX(tblCosechaRegistrada[Peso de 100 semillas - réplica 2 (g)],MATCH(tblCosechaCalculada[[#This Row],[Identificador de observación]],tblCosechaRegistrada[Identificador de observación],0))</f>
        <v/>
      </c>
      <c r="L44" s="14">
        <f>INDEX(tblCosechaRegistrada[Peso de 100 semillas - réplica 3 (g)],MATCH(tblCosechaCalculada[[#This Row],[Identificador de observación]],tblCosechaRegistrada[Identificador de observación],0))</f>
        <v/>
      </c>
      <c r="M44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44" s="14">
        <f>AVERAGE(tblCosechaCalculada[[#This Row],[Peso de 100 semillas - réplica 1 (g)]:[Peso de 100 semillas - réplica 3 (g)]])*10</f>
        <v/>
      </c>
      <c r="O44" s="14">
        <f>tblCosechaCalculada[[#This Row],[Panojas en el área cosechada (panojas)]]/INDEX(tblMetadatos[Valor],MATCH("harvest_sample_area_m2",tblMetadatos[Parámetro],0))</f>
        <v/>
      </c>
      <c r="P44" s="14">
        <f>tblCosechaCalculada[[#This Row],[Peso de semilla sin limpiar (g)]]*10/INDEX(tblMetadatos[Valor],MATCH("harvest_sample_area_m2",tblMetadatos[Parámetro],0))</f>
        <v/>
      </c>
      <c r="Q44" s="14">
        <f>tblCosechaCalculada[[#This Row],[Peso de semilla limpia (g)]]*10/INDEX(tblMetadatos[Valor],MATCH("harvest_sample_area_m2",tblMetadatos[Parámetro],0))</f>
        <v/>
      </c>
      <c r="R44" s="14">
        <f>tblCosechaCalculada[[#This Row],[Peso de semilla limpia (g)]]/tblCosechaCalculada[[#This Row],[Peso de semilla sin limpiar (g)]]</f>
        <v/>
      </c>
      <c r="S44" s="14">
        <f>100*(1-tblCosechaCalculada[[#This Row],[Recuperación de limpieza (proporción)]])</f>
        <v/>
      </c>
      <c r="T44" s="14">
        <f>1000*tblCosechaCalculada[[#This Row],[Peso de semilla limpia (g)]]/tblCosechaCalculada[[#This Row],[Peso de mil semillas (g)]]</f>
        <v/>
      </c>
      <c r="U44" s="14">
        <f>tblCosechaCalculada[[#This Row],[Número estimado de semillas (semillas)]]/tblCosechaCalculada[[#This Row],[Panojas en el área cosechada (panojas)]]</f>
        <v/>
      </c>
      <c r="V44" s="14">
        <f>100*tblCosechaCalculada[[#This Row],[Rendimiento limpio (kg/ha)]]/tblCosechaCalculada[[#This Row],[Biomasa final enlazada (kg MS/ha)]]</f>
        <v/>
      </c>
    </row>
    <row r="45">
      <c r="A45" s="6" t="inlineStr">
        <is>
          <t>harvest_20251112_riego_m5_r3</t>
        </is>
      </c>
      <c r="B45" s="13">
        <f>INDEX(tblCosechaRegistrada[Fecha],MATCH(tblCosechaCalculada[[#This Row],[Identificador de observación]],tblCosechaRegistrada[Identificador de observación],0))</f>
        <v/>
      </c>
      <c r="C45" s="12">
        <f>INDEX(tblCosechaRegistrada[Muestra],MATCH(tblCosechaCalculada[[#This Row],[Identificador de observación]],tblCosechaRegistrada[Identificador de observación],0))</f>
        <v/>
      </c>
      <c r="D45" s="6">
        <f>INDEX(tblCosechaRegistrada[Sector hídrico],MATCH(tblCosechaCalculada[[#This Row],[Identificador de observación]],tblCosechaRegistrada[Identificador de observación],0))</f>
        <v/>
      </c>
      <c r="E45" s="6">
        <f>INDEX(tblCosechaRegistrada[Tratamiento],MATCH(tblCosechaCalculada[[#This Row],[Identificador de observación]],tblCosechaRegistrada[Identificador de observación],0))</f>
        <v/>
      </c>
      <c r="F45" s="6">
        <f>INDEX(tblCosechaRegistrada[Bloque],MATCH(tblCosechaCalculada[[#This Row],[Identificador de observación]],tblCosechaRegistrada[Identificador de observación],0))</f>
        <v/>
      </c>
      <c r="G45" s="14">
        <f>INDEX(tblCosechaRegistrada[Panojas en el área cosechada (panojas)],MATCH(tblCosechaCalculada[[#This Row],[Identificador de observación]],tblCosechaRegistrada[Identificador de observación],0))</f>
        <v/>
      </c>
      <c r="H45" s="14">
        <f>INDEX(tblCosechaRegistrada[Peso de semilla sin limpiar (g)],MATCH(tblCosechaCalculada[[#This Row],[Identificador de observación]],tblCosechaRegistrada[Identificador de observación],0))</f>
        <v/>
      </c>
      <c r="I45" s="14">
        <f>INDEX(tblCosechaRegistrada[Peso de semilla limpia (g)],MATCH(tblCosechaCalculada[[#This Row],[Identificador de observación]],tblCosechaRegistrada[Identificador de observación],0))</f>
        <v/>
      </c>
      <c r="J45" s="14">
        <f>INDEX(tblCosechaRegistrada[Peso de 100 semillas - réplica 1 (g)],MATCH(tblCosechaCalculada[[#This Row],[Identificador de observación]],tblCosechaRegistrada[Identificador de observación],0))</f>
        <v/>
      </c>
      <c r="K45" s="14">
        <f>INDEX(tblCosechaRegistrada[Peso de 100 semillas - réplica 2 (g)],MATCH(tblCosechaCalculada[[#This Row],[Identificador de observación]],tblCosechaRegistrada[Identificador de observación],0))</f>
        <v/>
      </c>
      <c r="L45" s="14">
        <f>INDEX(tblCosechaRegistrada[Peso de 100 semillas - réplica 3 (g)],MATCH(tblCosechaCalculada[[#This Row],[Identificador de observación]],tblCosechaRegistrada[Identificador de observación],0))</f>
        <v/>
      </c>
      <c r="M45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45" s="14">
        <f>AVERAGE(tblCosechaCalculada[[#This Row],[Peso de 100 semillas - réplica 1 (g)]:[Peso de 100 semillas - réplica 3 (g)]])*10</f>
        <v/>
      </c>
      <c r="O45" s="14">
        <f>tblCosechaCalculada[[#This Row],[Panojas en el área cosechada (panojas)]]/INDEX(tblMetadatos[Valor],MATCH("harvest_sample_area_m2",tblMetadatos[Parámetro],0))</f>
        <v/>
      </c>
      <c r="P45" s="14">
        <f>tblCosechaCalculada[[#This Row],[Peso de semilla sin limpiar (g)]]*10/INDEX(tblMetadatos[Valor],MATCH("harvest_sample_area_m2",tblMetadatos[Parámetro],0))</f>
        <v/>
      </c>
      <c r="Q45" s="14">
        <f>tblCosechaCalculada[[#This Row],[Peso de semilla limpia (g)]]*10/INDEX(tblMetadatos[Valor],MATCH("harvest_sample_area_m2",tblMetadatos[Parámetro],0))</f>
        <v/>
      </c>
      <c r="R45" s="14">
        <f>tblCosechaCalculada[[#This Row],[Peso de semilla limpia (g)]]/tblCosechaCalculada[[#This Row],[Peso de semilla sin limpiar (g)]]</f>
        <v/>
      </c>
      <c r="S45" s="14">
        <f>100*(1-tblCosechaCalculada[[#This Row],[Recuperación de limpieza (proporción)]])</f>
        <v/>
      </c>
      <c r="T45" s="14">
        <f>1000*tblCosechaCalculada[[#This Row],[Peso de semilla limpia (g)]]/tblCosechaCalculada[[#This Row],[Peso de mil semillas (g)]]</f>
        <v/>
      </c>
      <c r="U45" s="14">
        <f>tblCosechaCalculada[[#This Row],[Número estimado de semillas (semillas)]]/tblCosechaCalculada[[#This Row],[Panojas en el área cosechada (panojas)]]</f>
        <v/>
      </c>
      <c r="V45" s="14">
        <f>100*tblCosechaCalculada[[#This Row],[Rendimiento limpio (kg/ha)]]/tblCosechaCalculada[[#This Row],[Biomasa final enlazada (kg MS/ha)]]</f>
        <v/>
      </c>
    </row>
    <row r="46">
      <c r="A46" s="6" t="inlineStr">
        <is>
          <t>harvest_20251112_riego_m2_r3</t>
        </is>
      </c>
      <c r="B46" s="13">
        <f>INDEX(tblCosechaRegistrada[Fecha],MATCH(tblCosechaCalculada[[#This Row],[Identificador de observación]],tblCosechaRegistrada[Identificador de observación],0))</f>
        <v/>
      </c>
      <c r="C46" s="12">
        <f>INDEX(tblCosechaRegistrada[Muestra],MATCH(tblCosechaCalculada[[#This Row],[Identificador de observación]],tblCosechaRegistrada[Identificador de observación],0))</f>
        <v/>
      </c>
      <c r="D46" s="6">
        <f>INDEX(tblCosechaRegistrada[Sector hídrico],MATCH(tblCosechaCalculada[[#This Row],[Identificador de observación]],tblCosechaRegistrada[Identificador de observación],0))</f>
        <v/>
      </c>
      <c r="E46" s="6">
        <f>INDEX(tblCosechaRegistrada[Tratamiento],MATCH(tblCosechaCalculada[[#This Row],[Identificador de observación]],tblCosechaRegistrada[Identificador de observación],0))</f>
        <v/>
      </c>
      <c r="F46" s="6">
        <f>INDEX(tblCosechaRegistrada[Bloque],MATCH(tblCosechaCalculada[[#This Row],[Identificador de observación]],tblCosechaRegistrada[Identificador de observación],0))</f>
        <v/>
      </c>
      <c r="G46" s="14">
        <f>INDEX(tblCosechaRegistrada[Panojas en el área cosechada (panojas)],MATCH(tblCosechaCalculada[[#This Row],[Identificador de observación]],tblCosechaRegistrada[Identificador de observación],0))</f>
        <v/>
      </c>
      <c r="H46" s="14">
        <f>INDEX(tblCosechaRegistrada[Peso de semilla sin limpiar (g)],MATCH(tblCosechaCalculada[[#This Row],[Identificador de observación]],tblCosechaRegistrada[Identificador de observación],0))</f>
        <v/>
      </c>
      <c r="I46" s="14">
        <f>INDEX(tblCosechaRegistrada[Peso de semilla limpia (g)],MATCH(tblCosechaCalculada[[#This Row],[Identificador de observación]],tblCosechaRegistrada[Identificador de observación],0))</f>
        <v/>
      </c>
      <c r="J46" s="14">
        <f>INDEX(tblCosechaRegistrada[Peso de 100 semillas - réplica 1 (g)],MATCH(tblCosechaCalculada[[#This Row],[Identificador de observación]],tblCosechaRegistrada[Identificador de observación],0))</f>
        <v/>
      </c>
      <c r="K46" s="14">
        <f>INDEX(tblCosechaRegistrada[Peso de 100 semillas - réplica 2 (g)],MATCH(tblCosechaCalculada[[#This Row],[Identificador de observación]],tblCosechaRegistrada[Identificador de observación],0))</f>
        <v/>
      </c>
      <c r="L46" s="14">
        <f>INDEX(tblCosechaRegistrada[Peso de 100 semillas - réplica 3 (g)],MATCH(tblCosechaCalculada[[#This Row],[Identificador de observación]],tblCosechaRegistrada[Identificador de observación],0))</f>
        <v/>
      </c>
      <c r="M46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46" s="14">
        <f>AVERAGE(tblCosechaCalculada[[#This Row],[Peso de 100 semillas - réplica 1 (g)]:[Peso de 100 semillas - réplica 3 (g)]])*10</f>
        <v/>
      </c>
      <c r="O46" s="14">
        <f>tblCosechaCalculada[[#This Row],[Panojas en el área cosechada (panojas)]]/INDEX(tblMetadatos[Valor],MATCH("harvest_sample_area_m2",tblMetadatos[Parámetro],0))</f>
        <v/>
      </c>
      <c r="P46" s="14">
        <f>tblCosechaCalculada[[#This Row],[Peso de semilla sin limpiar (g)]]*10/INDEX(tblMetadatos[Valor],MATCH("harvest_sample_area_m2",tblMetadatos[Parámetro],0))</f>
        <v/>
      </c>
      <c r="Q46" s="14">
        <f>tblCosechaCalculada[[#This Row],[Peso de semilla limpia (g)]]*10/INDEX(tblMetadatos[Valor],MATCH("harvest_sample_area_m2",tblMetadatos[Parámetro],0))</f>
        <v/>
      </c>
      <c r="R46" s="14">
        <f>tblCosechaCalculada[[#This Row],[Peso de semilla limpia (g)]]/tblCosechaCalculada[[#This Row],[Peso de semilla sin limpiar (g)]]</f>
        <v/>
      </c>
      <c r="S46" s="14">
        <f>100*(1-tblCosechaCalculada[[#This Row],[Recuperación de limpieza (proporción)]])</f>
        <v/>
      </c>
      <c r="T46" s="14">
        <f>1000*tblCosechaCalculada[[#This Row],[Peso de semilla limpia (g)]]/tblCosechaCalculada[[#This Row],[Peso de mil semillas (g)]]</f>
        <v/>
      </c>
      <c r="U46" s="14">
        <f>tblCosechaCalculada[[#This Row],[Número estimado de semillas (semillas)]]/tblCosechaCalculada[[#This Row],[Panojas en el área cosechada (panojas)]]</f>
        <v/>
      </c>
      <c r="V46" s="14">
        <f>100*tblCosechaCalculada[[#This Row],[Rendimiento limpio (kg/ha)]]/tblCosechaCalculada[[#This Row],[Biomasa final enlazada (kg MS/ha)]]</f>
        <v/>
      </c>
    </row>
    <row r="47">
      <c r="A47" s="6" t="inlineStr">
        <is>
          <t>harvest_20251112_riego_m1_r4</t>
        </is>
      </c>
      <c r="B47" s="13">
        <f>INDEX(tblCosechaRegistrada[Fecha],MATCH(tblCosechaCalculada[[#This Row],[Identificador de observación]],tblCosechaRegistrada[Identificador de observación],0))</f>
        <v/>
      </c>
      <c r="C47" s="12">
        <f>INDEX(tblCosechaRegistrada[Muestra],MATCH(tblCosechaCalculada[[#This Row],[Identificador de observación]],tblCosechaRegistrada[Identificador de observación],0))</f>
        <v/>
      </c>
      <c r="D47" s="6">
        <f>INDEX(tblCosechaRegistrada[Sector hídrico],MATCH(tblCosechaCalculada[[#This Row],[Identificador de observación]],tblCosechaRegistrada[Identificador de observación],0))</f>
        <v/>
      </c>
      <c r="E47" s="6">
        <f>INDEX(tblCosechaRegistrada[Tratamiento],MATCH(tblCosechaCalculada[[#This Row],[Identificador de observación]],tblCosechaRegistrada[Identificador de observación],0))</f>
        <v/>
      </c>
      <c r="F47" s="6">
        <f>INDEX(tblCosechaRegistrada[Bloque],MATCH(tblCosechaCalculada[[#This Row],[Identificador de observación]],tblCosechaRegistrada[Identificador de observación],0))</f>
        <v/>
      </c>
      <c r="G47" s="14">
        <f>INDEX(tblCosechaRegistrada[Panojas en el área cosechada (panojas)],MATCH(tblCosechaCalculada[[#This Row],[Identificador de observación]],tblCosechaRegistrada[Identificador de observación],0))</f>
        <v/>
      </c>
      <c r="H47" s="14">
        <f>INDEX(tblCosechaRegistrada[Peso de semilla sin limpiar (g)],MATCH(tblCosechaCalculada[[#This Row],[Identificador de observación]],tblCosechaRegistrada[Identificador de observación],0))</f>
        <v/>
      </c>
      <c r="I47" s="14">
        <f>INDEX(tblCosechaRegistrada[Peso de semilla limpia (g)],MATCH(tblCosechaCalculada[[#This Row],[Identificador de observación]],tblCosechaRegistrada[Identificador de observación],0))</f>
        <v/>
      </c>
      <c r="J47" s="14">
        <f>INDEX(tblCosechaRegistrada[Peso de 100 semillas - réplica 1 (g)],MATCH(tblCosechaCalculada[[#This Row],[Identificador de observación]],tblCosechaRegistrada[Identificador de observación],0))</f>
        <v/>
      </c>
      <c r="K47" s="14">
        <f>INDEX(tblCosechaRegistrada[Peso de 100 semillas - réplica 2 (g)],MATCH(tblCosechaCalculada[[#This Row],[Identificador de observación]],tblCosechaRegistrada[Identificador de observación],0))</f>
        <v/>
      </c>
      <c r="L47" s="14">
        <f>INDEX(tblCosechaRegistrada[Peso de 100 semillas - réplica 3 (g)],MATCH(tblCosechaCalculada[[#This Row],[Identificador de observación]],tblCosechaRegistrada[Identificador de observación],0))</f>
        <v/>
      </c>
      <c r="M47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47" s="14">
        <f>AVERAGE(tblCosechaCalculada[[#This Row],[Peso de 100 semillas - réplica 1 (g)]:[Peso de 100 semillas - réplica 3 (g)]])*10</f>
        <v/>
      </c>
      <c r="O47" s="14">
        <f>tblCosechaCalculada[[#This Row],[Panojas en el área cosechada (panojas)]]/INDEX(tblMetadatos[Valor],MATCH("harvest_sample_area_m2",tblMetadatos[Parámetro],0))</f>
        <v/>
      </c>
      <c r="P47" s="14">
        <f>tblCosechaCalculada[[#This Row],[Peso de semilla sin limpiar (g)]]*10/INDEX(tblMetadatos[Valor],MATCH("harvest_sample_area_m2",tblMetadatos[Parámetro],0))</f>
        <v/>
      </c>
      <c r="Q47" s="14">
        <f>tblCosechaCalculada[[#This Row],[Peso de semilla limpia (g)]]*10/INDEX(tblMetadatos[Valor],MATCH("harvest_sample_area_m2",tblMetadatos[Parámetro],0))</f>
        <v/>
      </c>
      <c r="R47" s="14">
        <f>tblCosechaCalculada[[#This Row],[Peso de semilla limpia (g)]]/tblCosechaCalculada[[#This Row],[Peso de semilla sin limpiar (g)]]</f>
        <v/>
      </c>
      <c r="S47" s="14">
        <f>100*(1-tblCosechaCalculada[[#This Row],[Recuperación de limpieza (proporción)]])</f>
        <v/>
      </c>
      <c r="T47" s="14">
        <f>1000*tblCosechaCalculada[[#This Row],[Peso de semilla limpia (g)]]/tblCosechaCalculada[[#This Row],[Peso de mil semillas (g)]]</f>
        <v/>
      </c>
      <c r="U47" s="14">
        <f>tblCosechaCalculada[[#This Row],[Número estimado de semillas (semillas)]]/tblCosechaCalculada[[#This Row],[Panojas en el área cosechada (panojas)]]</f>
        <v/>
      </c>
      <c r="V47" s="14">
        <f>100*tblCosechaCalculada[[#This Row],[Rendimiento limpio (kg/ha)]]/tblCosechaCalculada[[#This Row],[Biomasa final enlazada (kg MS/ha)]]</f>
        <v/>
      </c>
    </row>
    <row r="48">
      <c r="A48" s="6" t="inlineStr">
        <is>
          <t>harvest_20251112_riego_m0_r4</t>
        </is>
      </c>
      <c r="B48" s="13">
        <f>INDEX(tblCosechaRegistrada[Fecha],MATCH(tblCosechaCalculada[[#This Row],[Identificador de observación]],tblCosechaRegistrada[Identificador de observación],0))</f>
        <v/>
      </c>
      <c r="C48" s="12">
        <f>INDEX(tblCosechaRegistrada[Muestra],MATCH(tblCosechaCalculada[[#This Row],[Identificador de observación]],tblCosechaRegistrada[Identificador de observación],0))</f>
        <v/>
      </c>
      <c r="D48" s="6">
        <f>INDEX(tblCosechaRegistrada[Sector hídrico],MATCH(tblCosechaCalculada[[#This Row],[Identificador de observación]],tblCosechaRegistrada[Identificador de observación],0))</f>
        <v/>
      </c>
      <c r="E48" s="6">
        <f>INDEX(tblCosechaRegistrada[Tratamiento],MATCH(tblCosechaCalculada[[#This Row],[Identificador de observación]],tblCosechaRegistrada[Identificador de observación],0))</f>
        <v/>
      </c>
      <c r="F48" s="6">
        <f>INDEX(tblCosechaRegistrada[Bloque],MATCH(tblCosechaCalculada[[#This Row],[Identificador de observación]],tblCosechaRegistrada[Identificador de observación],0))</f>
        <v/>
      </c>
      <c r="G48" s="14">
        <f>INDEX(tblCosechaRegistrada[Panojas en el área cosechada (panojas)],MATCH(tblCosechaCalculada[[#This Row],[Identificador de observación]],tblCosechaRegistrada[Identificador de observación],0))</f>
        <v/>
      </c>
      <c r="H48" s="14">
        <f>INDEX(tblCosechaRegistrada[Peso de semilla sin limpiar (g)],MATCH(tblCosechaCalculada[[#This Row],[Identificador de observación]],tblCosechaRegistrada[Identificador de observación],0))</f>
        <v/>
      </c>
      <c r="I48" s="14">
        <f>INDEX(tblCosechaRegistrada[Peso de semilla limpia (g)],MATCH(tblCosechaCalculada[[#This Row],[Identificador de observación]],tblCosechaRegistrada[Identificador de observación],0))</f>
        <v/>
      </c>
      <c r="J48" s="14">
        <f>INDEX(tblCosechaRegistrada[Peso de 100 semillas - réplica 1 (g)],MATCH(tblCosechaCalculada[[#This Row],[Identificador de observación]],tblCosechaRegistrada[Identificador de observación],0))</f>
        <v/>
      </c>
      <c r="K48" s="14">
        <f>INDEX(tblCosechaRegistrada[Peso de 100 semillas - réplica 2 (g)],MATCH(tblCosechaCalculada[[#This Row],[Identificador de observación]],tblCosechaRegistrada[Identificador de observación],0))</f>
        <v/>
      </c>
      <c r="L48" s="14">
        <f>INDEX(tblCosechaRegistrada[Peso de 100 semillas - réplica 3 (g)],MATCH(tblCosechaCalculada[[#This Row],[Identificador de observación]],tblCosechaRegistrada[Identificador de observación],0))</f>
        <v/>
      </c>
      <c r="M48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48" s="14">
        <f>AVERAGE(tblCosechaCalculada[[#This Row],[Peso de 100 semillas - réplica 1 (g)]:[Peso de 100 semillas - réplica 3 (g)]])*10</f>
        <v/>
      </c>
      <c r="O48" s="14">
        <f>tblCosechaCalculada[[#This Row],[Panojas en el área cosechada (panojas)]]/INDEX(tblMetadatos[Valor],MATCH("harvest_sample_area_m2",tblMetadatos[Parámetro],0))</f>
        <v/>
      </c>
      <c r="P48" s="14">
        <f>tblCosechaCalculada[[#This Row],[Peso de semilla sin limpiar (g)]]*10/INDEX(tblMetadatos[Valor],MATCH("harvest_sample_area_m2",tblMetadatos[Parámetro],0))</f>
        <v/>
      </c>
      <c r="Q48" s="14">
        <f>tblCosechaCalculada[[#This Row],[Peso de semilla limpia (g)]]*10/INDEX(tblMetadatos[Valor],MATCH("harvest_sample_area_m2",tblMetadatos[Parámetro],0))</f>
        <v/>
      </c>
      <c r="R48" s="14">
        <f>tblCosechaCalculada[[#This Row],[Peso de semilla limpia (g)]]/tblCosechaCalculada[[#This Row],[Peso de semilla sin limpiar (g)]]</f>
        <v/>
      </c>
      <c r="S48" s="14">
        <f>100*(1-tblCosechaCalculada[[#This Row],[Recuperación de limpieza (proporción)]])</f>
        <v/>
      </c>
      <c r="T48" s="14">
        <f>1000*tblCosechaCalculada[[#This Row],[Peso de semilla limpia (g)]]/tblCosechaCalculada[[#This Row],[Peso de mil semillas (g)]]</f>
        <v/>
      </c>
      <c r="U48" s="14">
        <f>tblCosechaCalculada[[#This Row],[Número estimado de semillas (semillas)]]/tblCosechaCalculada[[#This Row],[Panojas en el área cosechada (panojas)]]</f>
        <v/>
      </c>
      <c r="V48" s="14">
        <f>100*tblCosechaCalculada[[#This Row],[Rendimiento limpio (kg/ha)]]/tblCosechaCalculada[[#This Row],[Biomasa final enlazada (kg MS/ha)]]</f>
        <v/>
      </c>
    </row>
    <row r="49">
      <c r="A49" s="6" t="inlineStr">
        <is>
          <t>harvest_20251112_riego_m5_r4</t>
        </is>
      </c>
      <c r="B49" s="13">
        <f>INDEX(tblCosechaRegistrada[Fecha],MATCH(tblCosechaCalculada[[#This Row],[Identificador de observación]],tblCosechaRegistrada[Identificador de observación],0))</f>
        <v/>
      </c>
      <c r="C49" s="12">
        <f>INDEX(tblCosechaRegistrada[Muestra],MATCH(tblCosechaCalculada[[#This Row],[Identificador de observación]],tblCosechaRegistrada[Identificador de observación],0))</f>
        <v/>
      </c>
      <c r="D49" s="6">
        <f>INDEX(tblCosechaRegistrada[Sector hídrico],MATCH(tblCosechaCalculada[[#This Row],[Identificador de observación]],tblCosechaRegistrada[Identificador de observación],0))</f>
        <v/>
      </c>
      <c r="E49" s="6">
        <f>INDEX(tblCosechaRegistrada[Tratamiento],MATCH(tblCosechaCalculada[[#This Row],[Identificador de observación]],tblCosechaRegistrada[Identificador de observación],0))</f>
        <v/>
      </c>
      <c r="F49" s="6">
        <f>INDEX(tblCosechaRegistrada[Bloque],MATCH(tblCosechaCalculada[[#This Row],[Identificador de observación]],tblCosechaRegistrada[Identificador de observación],0))</f>
        <v/>
      </c>
      <c r="G49" s="14">
        <f>INDEX(tblCosechaRegistrada[Panojas en el área cosechada (panojas)],MATCH(tblCosechaCalculada[[#This Row],[Identificador de observación]],tblCosechaRegistrada[Identificador de observación],0))</f>
        <v/>
      </c>
      <c r="H49" s="14">
        <f>INDEX(tblCosechaRegistrada[Peso de semilla sin limpiar (g)],MATCH(tblCosechaCalculada[[#This Row],[Identificador de observación]],tblCosechaRegistrada[Identificador de observación],0))</f>
        <v/>
      </c>
      <c r="I49" s="14">
        <f>INDEX(tblCosechaRegistrada[Peso de semilla limpia (g)],MATCH(tblCosechaCalculada[[#This Row],[Identificador de observación]],tblCosechaRegistrada[Identificador de observación],0))</f>
        <v/>
      </c>
      <c r="J49" s="14">
        <f>INDEX(tblCosechaRegistrada[Peso de 100 semillas - réplica 1 (g)],MATCH(tblCosechaCalculada[[#This Row],[Identificador de observación]],tblCosechaRegistrada[Identificador de observación],0))</f>
        <v/>
      </c>
      <c r="K49" s="14">
        <f>INDEX(tblCosechaRegistrada[Peso de 100 semillas - réplica 2 (g)],MATCH(tblCosechaCalculada[[#This Row],[Identificador de observación]],tblCosechaRegistrada[Identificador de observación],0))</f>
        <v/>
      </c>
      <c r="L49" s="14">
        <f>INDEX(tblCosechaRegistrada[Peso de 100 semillas - réplica 3 (g)],MATCH(tblCosechaCalculada[[#This Row],[Identificador de observación]],tblCosechaRegistrada[Identificador de observación],0))</f>
        <v/>
      </c>
      <c r="M49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49" s="14">
        <f>AVERAGE(tblCosechaCalculada[[#This Row],[Peso de 100 semillas - réplica 1 (g)]:[Peso de 100 semillas - réplica 3 (g)]])*10</f>
        <v/>
      </c>
      <c r="O49" s="14">
        <f>tblCosechaCalculada[[#This Row],[Panojas en el área cosechada (panojas)]]/INDEX(tblMetadatos[Valor],MATCH("harvest_sample_area_m2",tblMetadatos[Parámetro],0))</f>
        <v/>
      </c>
      <c r="P49" s="14">
        <f>tblCosechaCalculada[[#This Row],[Peso de semilla sin limpiar (g)]]*10/INDEX(tblMetadatos[Valor],MATCH("harvest_sample_area_m2",tblMetadatos[Parámetro],0))</f>
        <v/>
      </c>
      <c r="Q49" s="14">
        <f>tblCosechaCalculada[[#This Row],[Peso de semilla limpia (g)]]*10/INDEX(tblMetadatos[Valor],MATCH("harvest_sample_area_m2",tblMetadatos[Parámetro],0))</f>
        <v/>
      </c>
      <c r="R49" s="14">
        <f>tblCosechaCalculada[[#This Row],[Peso de semilla limpia (g)]]/tblCosechaCalculada[[#This Row],[Peso de semilla sin limpiar (g)]]</f>
        <v/>
      </c>
      <c r="S49" s="14">
        <f>100*(1-tblCosechaCalculada[[#This Row],[Recuperación de limpieza (proporción)]])</f>
        <v/>
      </c>
      <c r="T49" s="14">
        <f>1000*tblCosechaCalculada[[#This Row],[Peso de semilla limpia (g)]]/tblCosechaCalculada[[#This Row],[Peso de mil semillas (g)]]</f>
        <v/>
      </c>
      <c r="U49" s="14">
        <f>tblCosechaCalculada[[#This Row],[Número estimado de semillas (semillas)]]/tblCosechaCalculada[[#This Row],[Panojas en el área cosechada (panojas)]]</f>
        <v/>
      </c>
      <c r="V49" s="14">
        <f>100*tblCosechaCalculada[[#This Row],[Rendimiento limpio (kg/ha)]]/tblCosechaCalculada[[#This Row],[Biomasa final enlazada (kg MS/ha)]]</f>
        <v/>
      </c>
    </row>
    <row r="50">
      <c r="A50" s="6" t="inlineStr">
        <is>
          <t>harvest_20251112_riego_m4_r4</t>
        </is>
      </c>
      <c r="B50" s="13">
        <f>INDEX(tblCosechaRegistrada[Fecha],MATCH(tblCosechaCalculada[[#This Row],[Identificador de observación]],tblCosechaRegistrada[Identificador de observación],0))</f>
        <v/>
      </c>
      <c r="C50" s="12">
        <f>INDEX(tblCosechaRegistrada[Muestra],MATCH(tblCosechaCalculada[[#This Row],[Identificador de observación]],tblCosechaRegistrada[Identificador de observación],0))</f>
        <v/>
      </c>
      <c r="D50" s="6">
        <f>INDEX(tblCosechaRegistrada[Sector hídrico],MATCH(tblCosechaCalculada[[#This Row],[Identificador de observación]],tblCosechaRegistrada[Identificador de observación],0))</f>
        <v/>
      </c>
      <c r="E50" s="6">
        <f>INDEX(tblCosechaRegistrada[Tratamiento],MATCH(tblCosechaCalculada[[#This Row],[Identificador de observación]],tblCosechaRegistrada[Identificador de observación],0))</f>
        <v/>
      </c>
      <c r="F50" s="6">
        <f>INDEX(tblCosechaRegistrada[Bloque],MATCH(tblCosechaCalculada[[#This Row],[Identificador de observación]],tblCosechaRegistrada[Identificador de observación],0))</f>
        <v/>
      </c>
      <c r="G50" s="14">
        <f>INDEX(tblCosechaRegistrada[Panojas en el área cosechada (panojas)],MATCH(tblCosechaCalculada[[#This Row],[Identificador de observación]],tblCosechaRegistrada[Identificador de observación],0))</f>
        <v/>
      </c>
      <c r="H50" s="14">
        <f>INDEX(tblCosechaRegistrada[Peso de semilla sin limpiar (g)],MATCH(tblCosechaCalculada[[#This Row],[Identificador de observación]],tblCosechaRegistrada[Identificador de observación],0))</f>
        <v/>
      </c>
      <c r="I50" s="14">
        <f>INDEX(tblCosechaRegistrada[Peso de semilla limpia (g)],MATCH(tblCosechaCalculada[[#This Row],[Identificador de observación]],tblCosechaRegistrada[Identificador de observación],0))</f>
        <v/>
      </c>
      <c r="J50" s="14">
        <f>INDEX(tblCosechaRegistrada[Peso de 100 semillas - réplica 1 (g)],MATCH(tblCosechaCalculada[[#This Row],[Identificador de observación]],tblCosechaRegistrada[Identificador de observación],0))</f>
        <v/>
      </c>
      <c r="K50" s="14">
        <f>INDEX(tblCosechaRegistrada[Peso de 100 semillas - réplica 2 (g)],MATCH(tblCosechaCalculada[[#This Row],[Identificador de observación]],tblCosechaRegistrada[Identificador de observación],0))</f>
        <v/>
      </c>
      <c r="L50" s="14">
        <f>INDEX(tblCosechaRegistrada[Peso de 100 semillas - réplica 3 (g)],MATCH(tblCosechaCalculada[[#This Row],[Identificador de observación]],tblCosechaRegistrada[Identificador de observación],0))</f>
        <v/>
      </c>
      <c r="M50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50" s="14">
        <f>AVERAGE(tblCosechaCalculada[[#This Row],[Peso de 100 semillas - réplica 1 (g)]:[Peso de 100 semillas - réplica 3 (g)]])*10</f>
        <v/>
      </c>
      <c r="O50" s="14">
        <f>tblCosechaCalculada[[#This Row],[Panojas en el área cosechada (panojas)]]/INDEX(tblMetadatos[Valor],MATCH("harvest_sample_area_m2",tblMetadatos[Parámetro],0))</f>
        <v/>
      </c>
      <c r="P50" s="14">
        <f>tblCosechaCalculada[[#This Row],[Peso de semilla sin limpiar (g)]]*10/INDEX(tblMetadatos[Valor],MATCH("harvest_sample_area_m2",tblMetadatos[Parámetro],0))</f>
        <v/>
      </c>
      <c r="Q50" s="14">
        <f>tblCosechaCalculada[[#This Row],[Peso de semilla limpia (g)]]*10/INDEX(tblMetadatos[Valor],MATCH("harvest_sample_area_m2",tblMetadatos[Parámetro],0))</f>
        <v/>
      </c>
      <c r="R50" s="14">
        <f>tblCosechaCalculada[[#This Row],[Peso de semilla limpia (g)]]/tblCosechaCalculada[[#This Row],[Peso de semilla sin limpiar (g)]]</f>
        <v/>
      </c>
      <c r="S50" s="14">
        <f>100*(1-tblCosechaCalculada[[#This Row],[Recuperación de limpieza (proporción)]])</f>
        <v/>
      </c>
      <c r="T50" s="14">
        <f>1000*tblCosechaCalculada[[#This Row],[Peso de semilla limpia (g)]]/tblCosechaCalculada[[#This Row],[Peso de mil semillas (g)]]</f>
        <v/>
      </c>
      <c r="U50" s="14">
        <f>tblCosechaCalculada[[#This Row],[Número estimado de semillas (semillas)]]/tblCosechaCalculada[[#This Row],[Panojas en el área cosechada (panojas)]]</f>
        <v/>
      </c>
      <c r="V50" s="14">
        <f>100*tblCosechaCalculada[[#This Row],[Rendimiento limpio (kg/ha)]]/tblCosechaCalculada[[#This Row],[Biomasa final enlazada (kg MS/ha)]]</f>
        <v/>
      </c>
    </row>
    <row r="51">
      <c r="A51" s="6" t="inlineStr">
        <is>
          <t>harvest_20251112_riego_m3_r4</t>
        </is>
      </c>
      <c r="B51" s="13">
        <f>INDEX(tblCosechaRegistrada[Fecha],MATCH(tblCosechaCalculada[[#This Row],[Identificador de observación]],tblCosechaRegistrada[Identificador de observación],0))</f>
        <v/>
      </c>
      <c r="C51" s="12">
        <f>INDEX(tblCosechaRegistrada[Muestra],MATCH(tblCosechaCalculada[[#This Row],[Identificador de observación]],tblCosechaRegistrada[Identificador de observación],0))</f>
        <v/>
      </c>
      <c r="D51" s="6">
        <f>INDEX(tblCosechaRegistrada[Sector hídrico],MATCH(tblCosechaCalculada[[#This Row],[Identificador de observación]],tblCosechaRegistrada[Identificador de observación],0))</f>
        <v/>
      </c>
      <c r="E51" s="6">
        <f>INDEX(tblCosechaRegistrada[Tratamiento],MATCH(tblCosechaCalculada[[#This Row],[Identificador de observación]],tblCosechaRegistrada[Identificador de observación],0))</f>
        <v/>
      </c>
      <c r="F51" s="6">
        <f>INDEX(tblCosechaRegistrada[Bloque],MATCH(tblCosechaCalculada[[#This Row],[Identificador de observación]],tblCosechaRegistrada[Identificador de observación],0))</f>
        <v/>
      </c>
      <c r="G51" s="14">
        <f>INDEX(tblCosechaRegistrada[Panojas en el área cosechada (panojas)],MATCH(tblCosechaCalculada[[#This Row],[Identificador de observación]],tblCosechaRegistrada[Identificador de observación],0))</f>
        <v/>
      </c>
      <c r="H51" s="14">
        <f>INDEX(tblCosechaRegistrada[Peso de semilla sin limpiar (g)],MATCH(tblCosechaCalculada[[#This Row],[Identificador de observación]],tblCosechaRegistrada[Identificador de observación],0))</f>
        <v/>
      </c>
      <c r="I51" s="14">
        <f>INDEX(tblCosechaRegistrada[Peso de semilla limpia (g)],MATCH(tblCosechaCalculada[[#This Row],[Identificador de observación]],tblCosechaRegistrada[Identificador de observación],0))</f>
        <v/>
      </c>
      <c r="J51" s="14">
        <f>INDEX(tblCosechaRegistrada[Peso de 100 semillas - réplica 1 (g)],MATCH(tblCosechaCalculada[[#This Row],[Identificador de observación]],tblCosechaRegistrada[Identificador de observación],0))</f>
        <v/>
      </c>
      <c r="K51" s="14">
        <f>INDEX(tblCosechaRegistrada[Peso de 100 semillas - réplica 2 (g)],MATCH(tblCosechaCalculada[[#This Row],[Identificador de observación]],tblCosechaRegistrada[Identificador de observación],0))</f>
        <v/>
      </c>
      <c r="L51" s="14">
        <f>INDEX(tblCosechaRegistrada[Peso de 100 semillas - réplica 3 (g)],MATCH(tblCosechaCalculada[[#This Row],[Identificador de observación]],tblCosechaRegistrada[Identificador de observación],0))</f>
        <v/>
      </c>
      <c r="M51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51" s="14">
        <f>AVERAGE(tblCosechaCalculada[[#This Row],[Peso de 100 semillas - réplica 1 (g)]:[Peso de 100 semillas - réplica 3 (g)]])*10</f>
        <v/>
      </c>
      <c r="O51" s="14">
        <f>tblCosechaCalculada[[#This Row],[Panojas en el área cosechada (panojas)]]/INDEX(tblMetadatos[Valor],MATCH("harvest_sample_area_m2",tblMetadatos[Parámetro],0))</f>
        <v/>
      </c>
      <c r="P51" s="14">
        <f>tblCosechaCalculada[[#This Row],[Peso de semilla sin limpiar (g)]]*10/INDEX(tblMetadatos[Valor],MATCH("harvest_sample_area_m2",tblMetadatos[Parámetro],0))</f>
        <v/>
      </c>
      <c r="Q51" s="14">
        <f>tblCosechaCalculada[[#This Row],[Peso de semilla limpia (g)]]*10/INDEX(tblMetadatos[Valor],MATCH("harvest_sample_area_m2",tblMetadatos[Parámetro],0))</f>
        <v/>
      </c>
      <c r="R51" s="14">
        <f>tblCosechaCalculada[[#This Row],[Peso de semilla limpia (g)]]/tblCosechaCalculada[[#This Row],[Peso de semilla sin limpiar (g)]]</f>
        <v/>
      </c>
      <c r="S51" s="14">
        <f>100*(1-tblCosechaCalculada[[#This Row],[Recuperación de limpieza (proporción)]])</f>
        <v/>
      </c>
      <c r="T51" s="14">
        <f>1000*tblCosechaCalculada[[#This Row],[Peso de semilla limpia (g)]]/tblCosechaCalculada[[#This Row],[Peso de mil semillas (g)]]</f>
        <v/>
      </c>
      <c r="U51" s="14">
        <f>tblCosechaCalculada[[#This Row],[Número estimado de semillas (semillas)]]/tblCosechaCalculada[[#This Row],[Panojas en el área cosechada (panojas)]]</f>
        <v/>
      </c>
      <c r="V51" s="14">
        <f>100*tblCosechaCalculada[[#This Row],[Rendimiento limpio (kg/ha)]]/tblCosechaCalculada[[#This Row],[Biomasa final enlazada (kg MS/ha)]]</f>
        <v/>
      </c>
    </row>
    <row r="52">
      <c r="A52" s="6" t="inlineStr">
        <is>
          <t>harvest_20251112_riego_m2_r4</t>
        </is>
      </c>
      <c r="B52" s="13">
        <f>INDEX(tblCosechaRegistrada[Fecha],MATCH(tblCosechaCalculada[[#This Row],[Identificador de observación]],tblCosechaRegistrada[Identificador de observación],0))</f>
        <v/>
      </c>
      <c r="C52" s="12">
        <f>INDEX(tblCosechaRegistrada[Muestra],MATCH(tblCosechaCalculada[[#This Row],[Identificador de observación]],tblCosechaRegistrada[Identificador de observación],0))</f>
        <v/>
      </c>
      <c r="D52" s="6">
        <f>INDEX(tblCosechaRegistrada[Sector hídrico],MATCH(tblCosechaCalculada[[#This Row],[Identificador de observación]],tblCosechaRegistrada[Identificador de observación],0))</f>
        <v/>
      </c>
      <c r="E52" s="6">
        <f>INDEX(tblCosechaRegistrada[Tratamiento],MATCH(tblCosechaCalculada[[#This Row],[Identificador de observación]],tblCosechaRegistrada[Identificador de observación],0))</f>
        <v/>
      </c>
      <c r="F52" s="6">
        <f>INDEX(tblCosechaRegistrada[Bloque],MATCH(tblCosechaCalculada[[#This Row],[Identificador de observación]],tblCosechaRegistrada[Identificador de observación],0))</f>
        <v/>
      </c>
      <c r="G52" s="14">
        <f>INDEX(tblCosechaRegistrada[Panojas en el área cosechada (panojas)],MATCH(tblCosechaCalculada[[#This Row],[Identificador de observación]],tblCosechaRegistrada[Identificador de observación],0))</f>
        <v/>
      </c>
      <c r="H52" s="14">
        <f>INDEX(tblCosechaRegistrada[Peso de semilla sin limpiar (g)],MATCH(tblCosechaCalculada[[#This Row],[Identificador de observación]],tblCosechaRegistrada[Identificador de observación],0))</f>
        <v/>
      </c>
      <c r="I52" s="14">
        <f>INDEX(tblCosechaRegistrada[Peso de semilla limpia (g)],MATCH(tblCosechaCalculada[[#This Row],[Identificador de observación]],tblCosechaRegistrada[Identificador de observación],0))</f>
        <v/>
      </c>
      <c r="J52" s="14">
        <f>INDEX(tblCosechaRegistrada[Peso de 100 semillas - réplica 1 (g)],MATCH(tblCosechaCalculada[[#This Row],[Identificador de observación]],tblCosechaRegistrada[Identificador de observación],0))</f>
        <v/>
      </c>
      <c r="K52" s="14">
        <f>INDEX(tblCosechaRegistrada[Peso de 100 semillas - réplica 2 (g)],MATCH(tblCosechaCalculada[[#This Row],[Identificador de observación]],tblCosechaRegistrada[Identificador de observación],0))</f>
        <v/>
      </c>
      <c r="L52" s="14">
        <f>INDEX(tblCosechaRegistrada[Peso de 100 semillas - réplica 3 (g)],MATCH(tblCosechaCalculada[[#This Row],[Identificador de observación]],tblCosechaRegistrada[Identificador de observación],0))</f>
        <v/>
      </c>
      <c r="M52" s="14">
        <f>INDEX(tblMSCalculada[Biomasa recalculada con materia seca registrada (kg MS/ha)],MATCH(SUBSTITUTE(tblCosechaCalculada[[#This Row],[Identificador de observación]],"harvest_","dm_"),tblMSCalculada[Identificador de observación],0))</f>
        <v/>
      </c>
      <c r="N52" s="14">
        <f>AVERAGE(tblCosechaCalculada[[#This Row],[Peso de 100 semillas - réplica 1 (g)]:[Peso de 100 semillas - réplica 3 (g)]])*10</f>
        <v/>
      </c>
      <c r="O52" s="14">
        <f>tblCosechaCalculada[[#This Row],[Panojas en el área cosechada (panojas)]]/INDEX(tblMetadatos[Valor],MATCH("harvest_sample_area_m2",tblMetadatos[Parámetro],0))</f>
        <v/>
      </c>
      <c r="P52" s="14">
        <f>tblCosechaCalculada[[#This Row],[Peso de semilla sin limpiar (g)]]*10/INDEX(tblMetadatos[Valor],MATCH("harvest_sample_area_m2",tblMetadatos[Parámetro],0))</f>
        <v/>
      </c>
      <c r="Q52" s="14">
        <f>tblCosechaCalculada[[#This Row],[Peso de semilla limpia (g)]]*10/INDEX(tblMetadatos[Valor],MATCH("harvest_sample_area_m2",tblMetadatos[Parámetro],0))</f>
        <v/>
      </c>
      <c r="R52" s="14">
        <f>tblCosechaCalculada[[#This Row],[Peso de semilla limpia (g)]]/tblCosechaCalculada[[#This Row],[Peso de semilla sin limpiar (g)]]</f>
        <v/>
      </c>
      <c r="S52" s="14">
        <f>100*(1-tblCosechaCalculada[[#This Row],[Recuperación de limpieza (proporción)]])</f>
        <v/>
      </c>
      <c r="T52" s="14">
        <f>1000*tblCosechaCalculada[[#This Row],[Peso de semilla limpia (g)]]/tblCosechaCalculada[[#This Row],[Peso de mil semillas (g)]]</f>
        <v/>
      </c>
      <c r="U52" s="14">
        <f>tblCosechaCalculada[[#This Row],[Número estimado de semillas (semillas)]]/tblCosechaCalculada[[#This Row],[Panojas en el área cosechada (panojas)]]</f>
        <v/>
      </c>
      <c r="V52" s="14">
        <f>100*tblCosechaCalculada[[#This Row],[Rendimiento limpio (kg/ha)]]/tblCosechaCalculada[[#This Row],[Biomasa final enlazada (kg MS/ha)]]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5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1" customWidth="1" min="2" max="2"/>
    <col width="16" customWidth="1" min="3" max="3"/>
    <col width="13" customWidth="1" min="4" max="4"/>
    <col width="11" customWidth="1" min="5" max="5"/>
    <col width="25" customWidth="1" min="6" max="6"/>
    <col width="22" customWidth="1" min="7" max="7"/>
    <col width="35" customWidth="1" min="8" max="8"/>
    <col width="36" customWidth="1" min="9" max="9"/>
    <col width="23" customWidth="1" min="10" max="10"/>
    <col width="21" customWidth="1" min="11" max="11"/>
  </cols>
  <sheetData>
    <row r="1" ht="25" customHeight="1">
      <c r="A1" s="7" t="inlineStr">
        <is>
          <t>Calidad registrada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</row>
    <row r="2" ht="31" customHeight="1">
      <c r="A2" s="9" t="inlineStr">
        <is>
          <t>Una fila por muestra de laboratorio o muestra faltante identificada. Origen canónico: quality_recorded.csv. Rol: registrado.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</row>
    <row r="4" ht="38" customHeight="1">
      <c r="A4" s="11" t="inlineStr">
        <is>
          <t>Muestra</t>
        </is>
      </c>
      <c r="B4" s="11" t="inlineStr">
        <is>
          <t>Fecha</t>
        </is>
      </c>
      <c r="C4" s="11" t="inlineStr">
        <is>
          <t>Sector hídrico</t>
        </is>
      </c>
      <c r="D4" s="11" t="inlineStr">
        <is>
          <t>Tratamiento</t>
        </is>
      </c>
      <c r="E4" s="11" t="inlineStr">
        <is>
          <t>Bloque</t>
        </is>
      </c>
      <c r="F4" s="11" t="inlineStr">
        <is>
          <t>Registro de laboratorio</t>
        </is>
      </c>
      <c r="G4" s="11" t="inlineStr">
        <is>
          <t>Nitrógeno medido (%)</t>
        </is>
      </c>
      <c r="H4" s="11" t="inlineStr">
        <is>
          <t>Fibra detergente ácido medida (%)</t>
        </is>
      </c>
      <c r="I4" s="11" t="inlineStr">
        <is>
          <t>Fibra detergente neutro medida (%)</t>
        </is>
      </c>
      <c r="J4" s="11" t="inlineStr">
        <is>
          <t>Estado de la medición</t>
        </is>
      </c>
      <c r="K4" s="11" t="inlineStr">
        <is>
          <t>Origen del dato</t>
        </is>
      </c>
    </row>
    <row r="5">
      <c r="A5" s="12" t="n">
        <v>1</v>
      </c>
      <c r="B5" s="13" t="n">
        <v>45820</v>
      </c>
      <c r="C5" s="6" t="inlineStr">
        <is>
          <t>Riego</t>
        </is>
      </c>
      <c r="D5" s="6" t="inlineStr">
        <is>
          <t>GENERAL</t>
        </is>
      </c>
      <c r="E5" s="6" t="inlineStr">
        <is>
          <t>R1</t>
        </is>
      </c>
      <c r="F5" s="12" t="n">
        <v>261317</v>
      </c>
      <c r="G5" s="14" t="n">
        <v>1.056254096661484</v>
      </c>
      <c r="H5" s="14" t="n">
        <v>27.55402873636556</v>
      </c>
      <c r="I5" s="14" t="n">
        <v>56.12625115996776</v>
      </c>
      <c r="J5" s="6" t="inlineStr">
        <is>
          <t>measured</t>
        </is>
      </c>
      <c r="K5" s="6" t="inlineStr">
        <is>
          <t>Medido</t>
        </is>
      </c>
    </row>
    <row r="6">
      <c r="A6" s="12" t="n">
        <v>2</v>
      </c>
      <c r="B6" s="13" t="n">
        <v>45820</v>
      </c>
      <c r="C6" s="6" t="inlineStr">
        <is>
          <t>Riego</t>
        </is>
      </c>
      <c r="D6" s="6" t="inlineStr">
        <is>
          <t>GENERAL</t>
        </is>
      </c>
      <c r="E6" s="6" t="inlineStr">
        <is>
          <t>R2</t>
        </is>
      </c>
      <c r="F6" s="12" t="n">
        <v>261318</v>
      </c>
      <c r="G6" s="14" t="n">
        <v>1.161464413126703</v>
      </c>
      <c r="H6" s="14" t="n">
        <v>25.02829752367079</v>
      </c>
      <c r="I6" s="14" t="n">
        <v>46.26741010588113</v>
      </c>
      <c r="J6" s="6" t="inlineStr">
        <is>
          <t>measured</t>
        </is>
      </c>
      <c r="K6" s="6" t="inlineStr">
        <is>
          <t>Medido</t>
        </is>
      </c>
    </row>
    <row r="7">
      <c r="A7" s="12" t="n">
        <v>3</v>
      </c>
      <c r="B7" s="13" t="n">
        <v>45820</v>
      </c>
      <c r="C7" s="6" t="inlineStr">
        <is>
          <t>Riego</t>
        </is>
      </c>
      <c r="D7" s="6" t="inlineStr">
        <is>
          <t>GENERAL</t>
        </is>
      </c>
      <c r="E7" s="6" t="inlineStr">
        <is>
          <t>R3</t>
        </is>
      </c>
      <c r="F7" s="12" t="n">
        <v>261319</v>
      </c>
      <c r="G7" s="14" t="n">
        <v>1.201517882876105</v>
      </c>
      <c r="H7" s="14" t="n">
        <v>25.27295884923526</v>
      </c>
      <c r="I7" s="14" t="n">
        <v>46.67870950833421</v>
      </c>
      <c r="J7" s="6" t="inlineStr">
        <is>
          <t>measured</t>
        </is>
      </c>
      <c r="K7" s="6" t="inlineStr">
        <is>
          <t>Medido</t>
        </is>
      </c>
    </row>
    <row r="8">
      <c r="A8" s="12" t="n">
        <v>4</v>
      </c>
      <c r="B8" s="13" t="n">
        <v>45820</v>
      </c>
      <c r="C8" s="6" t="inlineStr">
        <is>
          <t>Riego</t>
        </is>
      </c>
      <c r="D8" s="6" t="inlineStr">
        <is>
          <t>GENERAL</t>
        </is>
      </c>
      <c r="E8" s="6" t="inlineStr">
        <is>
          <t>R4</t>
        </is>
      </c>
      <c r="F8" s="12" t="n">
        <v>261320</v>
      </c>
      <c r="G8" s="14" t="n">
        <v>1.117015243158299</v>
      </c>
      <c r="H8" s="14" t="n">
        <v>26.08022760378733</v>
      </c>
      <c r="I8" s="14" t="n">
        <v>47.1703333682776</v>
      </c>
      <c r="J8" s="6" t="inlineStr">
        <is>
          <t>measured</t>
        </is>
      </c>
      <c r="K8" s="6" t="inlineStr">
        <is>
          <t>Medido</t>
        </is>
      </c>
    </row>
    <row r="9">
      <c r="A9" s="12" t="n">
        <v>5</v>
      </c>
      <c r="B9" s="13" t="n">
        <v>45820</v>
      </c>
      <c r="C9" s="6" t="inlineStr">
        <is>
          <t>Secano</t>
        </is>
      </c>
      <c r="D9" s="6" t="inlineStr">
        <is>
          <t>GENERAL</t>
        </is>
      </c>
      <c r="E9" s="6" t="inlineStr">
        <is>
          <t>R1</t>
        </is>
      </c>
      <c r="F9" s="12" t="n">
        <v>261321</v>
      </c>
      <c r="G9" s="14" t="n">
        <v>1.362960041459786</v>
      </c>
      <c r="H9" s="14" t="n">
        <v>23.93099235251275</v>
      </c>
      <c r="I9" s="14" t="n">
        <v>44.69204738442185</v>
      </c>
      <c r="J9" s="6" t="inlineStr">
        <is>
          <t>measured</t>
        </is>
      </c>
      <c r="K9" s="6" t="inlineStr">
        <is>
          <t>Medido</t>
        </is>
      </c>
    </row>
    <row r="10">
      <c r="A10" s="12" t="n">
        <v>6</v>
      </c>
      <c r="B10" s="13" t="n">
        <v>45820</v>
      </c>
      <c r="C10" s="6" t="inlineStr">
        <is>
          <t>Secano</t>
        </is>
      </c>
      <c r="D10" s="6" t="inlineStr">
        <is>
          <t>GENERAL</t>
        </is>
      </c>
      <c r="E10" s="6" t="inlineStr">
        <is>
          <t>R2</t>
        </is>
      </c>
      <c r="F10" s="12" t="n">
        <v>261322</v>
      </c>
      <c r="G10" s="14" t="n">
        <v>1.110674211344601</v>
      </c>
      <c r="H10" s="14" t="n">
        <v>26.94586576879683</v>
      </c>
      <c r="I10" s="14" t="n">
        <v>54.00853735397182</v>
      </c>
      <c r="J10" s="6" t="inlineStr">
        <is>
          <t>measured</t>
        </is>
      </c>
      <c r="K10" s="6" t="inlineStr">
        <is>
          <t>Medido</t>
        </is>
      </c>
    </row>
    <row r="11">
      <c r="A11" s="12" t="n">
        <v>7</v>
      </c>
      <c r="B11" s="13" t="n">
        <v>45820</v>
      </c>
      <c r="C11" s="6" t="inlineStr">
        <is>
          <t>Secano</t>
        </is>
      </c>
      <c r="D11" s="6" t="inlineStr">
        <is>
          <t>GENERAL</t>
        </is>
      </c>
      <c r="E11" s="6" t="inlineStr">
        <is>
          <t>R3</t>
        </is>
      </c>
      <c r="F11" s="12" t="n">
        <v>261323</v>
      </c>
      <c r="G11" s="14" t="n">
        <v>1.353908434057208</v>
      </c>
      <c r="H11" s="14" t="n">
        <v>26.35502731245447</v>
      </c>
      <c r="I11" s="14" t="n">
        <v>47.92727120243212</v>
      </c>
      <c r="J11" s="6" t="inlineStr">
        <is>
          <t>measured</t>
        </is>
      </c>
      <c r="K11" s="6" t="inlineStr">
        <is>
          <t>Medido</t>
        </is>
      </c>
    </row>
    <row r="12">
      <c r="A12" s="12" t="n">
        <v>8</v>
      </c>
      <c r="B12" s="13" t="n">
        <v>45820</v>
      </c>
      <c r="C12" s="6" t="inlineStr">
        <is>
          <t>Secano</t>
        </is>
      </c>
      <c r="D12" s="6" t="inlineStr">
        <is>
          <t>GENERAL</t>
        </is>
      </c>
      <c r="E12" s="6" t="inlineStr">
        <is>
          <t>R4</t>
        </is>
      </c>
      <c r="F12" s="12" t="n">
        <v>261324</v>
      </c>
      <c r="G12" s="14" t="n">
        <v>1.364149863751107</v>
      </c>
      <c r="H12" s="14" t="n">
        <v>26.58994391063623</v>
      </c>
      <c r="I12" s="14" t="n">
        <v>54.31064886975585</v>
      </c>
      <c r="J12" s="6" t="inlineStr">
        <is>
          <t>measured</t>
        </is>
      </c>
      <c r="K12" s="6" t="inlineStr">
        <is>
          <t>Medido</t>
        </is>
      </c>
    </row>
    <row r="13">
      <c r="A13" s="12" t="n">
        <v>9</v>
      </c>
      <c r="B13" s="13" t="n">
        <v>45916</v>
      </c>
      <c r="C13" s="6" t="inlineStr">
        <is>
          <t>Secano</t>
        </is>
      </c>
      <c r="D13" s="6" t="inlineStr">
        <is>
          <t>M0</t>
        </is>
      </c>
      <c r="E13" s="6" t="inlineStr">
        <is>
          <t>R1</t>
        </is>
      </c>
      <c r="F13" s="12" t="n">
        <v>261325</v>
      </c>
      <c r="G13" s="14" t="n">
        <v>1.051618518147015</v>
      </c>
      <c r="H13" s="14" t="n">
        <v>28.23544352578158</v>
      </c>
      <c r="I13" s="14" t="n">
        <v>56.03301225553062</v>
      </c>
      <c r="J13" s="6" t="inlineStr">
        <is>
          <t>measured</t>
        </is>
      </c>
      <c r="K13" s="6" t="inlineStr">
        <is>
          <t>Medido</t>
        </is>
      </c>
    </row>
    <row r="14">
      <c r="A14" s="12" t="n">
        <v>10</v>
      </c>
      <c r="B14" s="13" t="n">
        <v>45916</v>
      </c>
      <c r="C14" s="6" t="inlineStr">
        <is>
          <t>Secano</t>
        </is>
      </c>
      <c r="D14" s="6" t="inlineStr">
        <is>
          <t>M1</t>
        </is>
      </c>
      <c r="E14" s="6" t="inlineStr">
        <is>
          <t>R1</t>
        </is>
      </c>
      <c r="F14" s="12" t="n">
        <v>261326</v>
      </c>
      <c r="G14" s="14" t="n">
        <v>2.405675256198071</v>
      </c>
      <c r="H14" s="14" t="n">
        <v>29.97526584122359</v>
      </c>
      <c r="I14" s="14" t="n">
        <v>51.11100115316071</v>
      </c>
      <c r="J14" s="6" t="inlineStr">
        <is>
          <t>measured</t>
        </is>
      </c>
      <c r="K14" s="6" t="inlineStr">
        <is>
          <t>Medido</t>
        </is>
      </c>
    </row>
    <row r="15">
      <c r="A15" s="12" t="n">
        <v>11</v>
      </c>
      <c r="B15" s="13" t="n">
        <v>45916</v>
      </c>
      <c r="C15" s="6" t="inlineStr">
        <is>
          <t>Secano</t>
        </is>
      </c>
      <c r="D15" s="6" t="inlineStr">
        <is>
          <t>M2</t>
        </is>
      </c>
      <c r="E15" s="6" t="inlineStr">
        <is>
          <t>R1</t>
        </is>
      </c>
      <c r="F15" s="12" t="n">
        <v>261327</v>
      </c>
      <c r="G15" s="14" t="n">
        <v>1.794890763495328</v>
      </c>
      <c r="H15" s="14" t="n">
        <v>31.91856518572469</v>
      </c>
      <c r="I15" s="14" t="n">
        <v>54.49011950938254</v>
      </c>
      <c r="J15" s="6" t="inlineStr">
        <is>
          <t>measured</t>
        </is>
      </c>
      <c r="K15" s="6" t="inlineStr">
        <is>
          <t>Medido</t>
        </is>
      </c>
    </row>
    <row r="16">
      <c r="A16" s="12" t="n">
        <v>12</v>
      </c>
      <c r="B16" s="13" t="n">
        <v>45916</v>
      </c>
      <c r="C16" s="6" t="inlineStr">
        <is>
          <t>Secano</t>
        </is>
      </c>
      <c r="D16" s="6" t="inlineStr">
        <is>
          <t>M3</t>
        </is>
      </c>
      <c r="E16" s="6" t="inlineStr">
        <is>
          <t>R1</t>
        </is>
      </c>
      <c r="F16" s="12" t="n">
        <v>261328</v>
      </c>
      <c r="G16" s="14" t="n">
        <v>1.85192016985138</v>
      </c>
      <c r="H16" s="14" t="n">
        <v>32.13048798252003</v>
      </c>
      <c r="I16" s="14" t="n">
        <v>53.61935213334731</v>
      </c>
      <c r="J16" s="6" t="inlineStr">
        <is>
          <t>measured</t>
        </is>
      </c>
      <c r="K16" s="6" t="inlineStr">
        <is>
          <t>Medido</t>
        </is>
      </c>
    </row>
    <row r="17">
      <c r="A17" s="12" t="n">
        <v>13</v>
      </c>
      <c r="B17" s="13" t="n">
        <v>45916</v>
      </c>
      <c r="C17" s="6" t="inlineStr">
        <is>
          <t>Secano</t>
        </is>
      </c>
      <c r="D17" s="6" t="inlineStr">
        <is>
          <t>M4</t>
        </is>
      </c>
      <c r="E17" s="6" t="inlineStr">
        <is>
          <t>R1</t>
        </is>
      </c>
      <c r="F17" s="12" t="n">
        <v>261329</v>
      </c>
      <c r="G17" s="14" t="n">
        <v>2.031646575388268</v>
      </c>
      <c r="H17" s="14" t="n">
        <v>28.43270939548434</v>
      </c>
      <c r="I17" s="14" t="n">
        <v>49.09964252018032</v>
      </c>
      <c r="J17" s="6" t="inlineStr">
        <is>
          <t>measured</t>
        </is>
      </c>
      <c r="K17" s="6" t="inlineStr">
        <is>
          <t>Medido</t>
        </is>
      </c>
    </row>
    <row r="18">
      <c r="A18" s="12" t="n">
        <v>14</v>
      </c>
      <c r="B18" s="13" t="n">
        <v>45916</v>
      </c>
      <c r="C18" s="6" t="inlineStr">
        <is>
          <t>Secano</t>
        </is>
      </c>
      <c r="D18" s="6" t="inlineStr">
        <is>
          <t>M5</t>
        </is>
      </c>
      <c r="E18" s="6" t="inlineStr">
        <is>
          <t>R1</t>
        </is>
      </c>
      <c r="F18" s="12" t="n">
        <v>261330</v>
      </c>
      <c r="G18" s="14" t="n">
        <v>1.947404570607018</v>
      </c>
      <c r="H18" s="14" t="n">
        <v>32.56981245447924</v>
      </c>
      <c r="I18" s="14" t="n">
        <v>54.11714959639374</v>
      </c>
      <c r="J18" s="6" t="inlineStr">
        <is>
          <t>measured</t>
        </is>
      </c>
      <c r="K18" s="6" t="inlineStr">
        <is>
          <t>Medido</t>
        </is>
      </c>
    </row>
    <row r="19">
      <c r="A19" s="12" t="n">
        <v>15</v>
      </c>
      <c r="B19" s="13" t="n">
        <v>45916</v>
      </c>
      <c r="C19" s="6" t="inlineStr">
        <is>
          <t>Secano</t>
        </is>
      </c>
      <c r="D19" s="6" t="inlineStr">
        <is>
          <t>M3</t>
        </is>
      </c>
      <c r="E19" s="6" t="inlineStr">
        <is>
          <t>R2</t>
        </is>
      </c>
      <c r="F19" s="12" t="n">
        <v>261331</v>
      </c>
      <c r="G19" s="14" t="n">
        <v>2.047163891535851</v>
      </c>
      <c r="H19" s="14" t="n">
        <v>30.84303495561869</v>
      </c>
      <c r="I19" s="14" t="n">
        <v>61.21009225202022</v>
      </c>
      <c r="J19" s="6" t="inlineStr">
        <is>
          <t>measured</t>
        </is>
      </c>
      <c r="K19" s="6" t="inlineStr">
        <is>
          <t>Medido</t>
        </is>
      </c>
    </row>
    <row r="20">
      <c r="A20" s="12" t="n">
        <v>16</v>
      </c>
      <c r="B20" s="13" t="n">
        <v>45916</v>
      </c>
      <c r="C20" s="6" t="inlineStr">
        <is>
          <t>Secano</t>
        </is>
      </c>
      <c r="D20" s="6" t="inlineStr">
        <is>
          <t>M2</t>
        </is>
      </c>
      <c r="E20" s="6" t="inlineStr">
        <is>
          <t>R2</t>
        </is>
      </c>
      <c r="F20" s="12" t="n">
        <v>261332</v>
      </c>
      <c r="G20" s="14" t="n">
        <v>1.804620706488122</v>
      </c>
      <c r="H20" s="14" t="n">
        <v>29.67630917698471</v>
      </c>
      <c r="I20" s="14" t="n">
        <v>51.0004444910368</v>
      </c>
      <c r="J20" s="6" t="inlineStr">
        <is>
          <t>measured</t>
        </is>
      </c>
      <c r="K20" s="6" t="inlineStr">
        <is>
          <t>Medido</t>
        </is>
      </c>
    </row>
    <row r="21">
      <c r="A21" s="12" t="n">
        <v>17</v>
      </c>
      <c r="B21" s="13" t="n">
        <v>45916</v>
      </c>
      <c r="C21" s="6" t="inlineStr">
        <is>
          <t>Secano</t>
        </is>
      </c>
      <c r="D21" s="6" t="inlineStr">
        <is>
          <t>M4</t>
        </is>
      </c>
      <c r="E21" s="6" t="inlineStr">
        <is>
          <t>R2</t>
        </is>
      </c>
      <c r="F21" s="12" t="n">
        <v>261333</v>
      </c>
      <c r="G21" s="14" t="n">
        <v>1.666812444622766</v>
      </c>
      <c r="H21" s="14" t="n">
        <v>30.73995630007283</v>
      </c>
      <c r="I21" s="14" t="n">
        <v>52.20555194464828</v>
      </c>
      <c r="J21" s="6" t="inlineStr">
        <is>
          <t>measured</t>
        </is>
      </c>
      <c r="K21" s="6" t="inlineStr">
        <is>
          <t>Medido</t>
        </is>
      </c>
    </row>
    <row r="22">
      <c r="A22" s="12" t="n">
        <v>18</v>
      </c>
      <c r="B22" s="13" t="n">
        <v>45916</v>
      </c>
      <c r="C22" s="6" t="inlineStr">
        <is>
          <t>Secano</t>
        </is>
      </c>
      <c r="D22" s="6" t="inlineStr">
        <is>
          <t>M0</t>
        </is>
      </c>
      <c r="E22" s="6" t="inlineStr">
        <is>
          <t>R2</t>
        </is>
      </c>
      <c r="F22" s="12" t="n">
        <v>261334</v>
      </c>
      <c r="G22" s="14" t="n">
        <v>1.051174749653109</v>
      </c>
      <c r="H22" s="14" t="n">
        <v>27.58569009468318</v>
      </c>
      <c r="I22" s="14" t="n">
        <v>48.28363140790439</v>
      </c>
      <c r="J22" s="6" t="inlineStr">
        <is>
          <t>measured</t>
        </is>
      </c>
      <c r="K22" s="6" t="inlineStr">
        <is>
          <t>Medido</t>
        </is>
      </c>
    </row>
    <row r="23">
      <c r="A23" s="12" t="n">
        <v>19</v>
      </c>
      <c r="B23" s="13" t="n">
        <v>45916</v>
      </c>
      <c r="C23" s="6" t="inlineStr">
        <is>
          <t>Secano</t>
        </is>
      </c>
      <c r="D23" s="6" t="inlineStr">
        <is>
          <t>M1</t>
        </is>
      </c>
      <c r="E23" s="6" t="inlineStr">
        <is>
          <t>R2</t>
        </is>
      </c>
      <c r="F23" s="12" t="n">
        <v>261335</v>
      </c>
      <c r="G23" s="14" t="n">
        <v>2.486501616597289</v>
      </c>
      <c r="H23" s="14" t="n">
        <v>32.80936088856519</v>
      </c>
      <c r="I23" s="14" t="n">
        <v>55.32531292588322</v>
      </c>
      <c r="J23" s="6" t="inlineStr">
        <is>
          <t>measured</t>
        </is>
      </c>
      <c r="K23" s="6" t="inlineStr">
        <is>
          <t>Medido</t>
        </is>
      </c>
    </row>
    <row r="24">
      <c r="A24" s="12" t="n">
        <v>20</v>
      </c>
      <c r="B24" s="13" t="n">
        <v>45916</v>
      </c>
      <c r="C24" s="6" t="inlineStr">
        <is>
          <t>Secano</t>
        </is>
      </c>
      <c r="D24" s="6" t="inlineStr">
        <is>
          <t>M5</t>
        </is>
      </c>
      <c r="E24" s="6" t="inlineStr">
        <is>
          <t>R2</t>
        </is>
      </c>
      <c r="F24" s="12" t="n">
        <v>261336</v>
      </c>
      <c r="G24" s="14" t="n">
        <v>2.00185031011251</v>
      </c>
      <c r="H24" s="14" t="n">
        <v>30.31055353241078</v>
      </c>
      <c r="I24" s="14" t="n">
        <v>52.5333106195618</v>
      </c>
      <c r="J24" s="6" t="inlineStr">
        <is>
          <t>measured</t>
        </is>
      </c>
      <c r="K24" s="6" t="inlineStr">
        <is>
          <t>Medido</t>
        </is>
      </c>
    </row>
    <row r="25">
      <c r="A25" s="12" t="n">
        <v>21</v>
      </c>
      <c r="B25" s="13" t="n">
        <v>45916</v>
      </c>
      <c r="C25" s="6" t="inlineStr">
        <is>
          <t>Secano</t>
        </is>
      </c>
      <c r="D25" s="6" t="inlineStr">
        <is>
          <t>M3</t>
        </is>
      </c>
      <c r="E25" s="6" t="inlineStr">
        <is>
          <t>R3</t>
        </is>
      </c>
      <c r="F25" s="12" t="n">
        <v>261337</v>
      </c>
      <c r="G25" s="14" t="n">
        <v>2.312556684554558</v>
      </c>
      <c r="H25" s="14" t="n">
        <v>31.9890750182083</v>
      </c>
      <c r="I25" s="14" t="n">
        <v>53.93146975573959</v>
      </c>
      <c r="J25" s="6" t="inlineStr">
        <is>
          <t>measured</t>
        </is>
      </c>
      <c r="K25" s="6" t="inlineStr">
        <is>
          <t>Medido</t>
        </is>
      </c>
    </row>
    <row r="26">
      <c r="A26" s="12" t="n">
        <v>22</v>
      </c>
      <c r="B26" s="13" t="n">
        <v>45916</v>
      </c>
      <c r="C26" s="6" t="inlineStr">
        <is>
          <t>Secano</t>
        </is>
      </c>
      <c r="D26" s="6" t="inlineStr">
        <is>
          <t>M4</t>
        </is>
      </c>
      <c r="E26" s="6" t="inlineStr">
        <is>
          <t>R3</t>
        </is>
      </c>
      <c r="F26" s="12" t="n">
        <v>261338</v>
      </c>
      <c r="G26" s="14" t="n">
        <v>2.569192222946654</v>
      </c>
      <c r="H26" s="14" t="n">
        <v>31.26679533867443</v>
      </c>
      <c r="I26" s="14" t="n">
        <v>53.38913932278017</v>
      </c>
      <c r="J26" s="6" t="inlineStr">
        <is>
          <t>measured</t>
        </is>
      </c>
      <c r="K26" s="6" t="inlineStr">
        <is>
          <t>Medido</t>
        </is>
      </c>
    </row>
    <row r="27">
      <c r="A27" s="12" t="n">
        <v>23</v>
      </c>
      <c r="B27" s="13" t="n">
        <v>45916</v>
      </c>
      <c r="C27" s="6" t="inlineStr">
        <is>
          <t>Secano</t>
        </is>
      </c>
      <c r="D27" s="6" t="inlineStr">
        <is>
          <t>M0</t>
        </is>
      </c>
      <c r="E27" s="6" t="inlineStr">
        <is>
          <t>R3</t>
        </is>
      </c>
      <c r="F27" s="12" t="n">
        <v>261339</v>
      </c>
      <c r="G27" s="14" t="n">
        <v>1.226879930454553</v>
      </c>
      <c r="H27" s="14" t="n">
        <v>26.34516387472688</v>
      </c>
      <c r="I27" s="14" t="n">
        <v>46.86250235873781</v>
      </c>
      <c r="J27" s="6" t="inlineStr">
        <is>
          <t>measured</t>
        </is>
      </c>
      <c r="K27" s="6" t="inlineStr">
        <is>
          <t>Medido</t>
        </is>
      </c>
    </row>
    <row r="28">
      <c r="A28" s="12" t="n">
        <v>24</v>
      </c>
      <c r="B28" s="13" t="n">
        <v>45916</v>
      </c>
      <c r="C28" s="6" t="inlineStr">
        <is>
          <t>Secano</t>
        </is>
      </c>
      <c r="D28" s="6" t="inlineStr">
        <is>
          <t>M1</t>
        </is>
      </c>
      <c r="E28" s="6" t="inlineStr">
        <is>
          <t>R3</t>
        </is>
      </c>
      <c r="F28" s="12" t="n">
        <v>261340</v>
      </c>
      <c r="G28" s="14" t="n">
        <v>2.112009014159854</v>
      </c>
      <c r="H28" s="14" t="n">
        <v>32.3198543335761</v>
      </c>
      <c r="I28" s="14" t="n">
        <v>55.18341125904183</v>
      </c>
      <c r="J28" s="6" t="inlineStr">
        <is>
          <t>measured</t>
        </is>
      </c>
      <c r="K28" s="6" t="inlineStr">
        <is>
          <t>Medido</t>
        </is>
      </c>
    </row>
    <row r="29">
      <c r="A29" s="12" t="n">
        <v>25</v>
      </c>
      <c r="B29" s="13" t="n">
        <v>45916</v>
      </c>
      <c r="C29" s="6" t="inlineStr">
        <is>
          <t>Secano</t>
        </is>
      </c>
      <c r="D29" s="6" t="inlineStr">
        <is>
          <t>M5</t>
        </is>
      </c>
      <c r="E29" s="6" t="inlineStr">
        <is>
          <t>R3</t>
        </is>
      </c>
      <c r="F29" s="12" t="n">
        <v>261341</v>
      </c>
      <c r="G29" s="14" t="n">
        <v>1.760480172860558</v>
      </c>
      <c r="H29" s="14" t="n">
        <v>29.00568491771242</v>
      </c>
      <c r="I29" s="14" t="n">
        <v>58.1857270744406</v>
      </c>
      <c r="J29" s="6" t="inlineStr">
        <is>
          <t>measured</t>
        </is>
      </c>
      <c r="K29" s="6" t="inlineStr">
        <is>
          <t>Medido</t>
        </is>
      </c>
    </row>
    <row r="30">
      <c r="A30" s="12" t="n">
        <v>26</v>
      </c>
      <c r="B30" s="13" t="n">
        <v>45916</v>
      </c>
      <c r="C30" s="6" t="inlineStr">
        <is>
          <t>Secano</t>
        </is>
      </c>
      <c r="D30" s="6" t="inlineStr">
        <is>
          <t>M2</t>
        </is>
      </c>
      <c r="E30" s="6" t="inlineStr">
        <is>
          <t>R3</t>
        </is>
      </c>
      <c r="F30" s="12" t="n">
        <v>261342</v>
      </c>
      <c r="G30" s="14" t="n">
        <v>2.24730807629938</v>
      </c>
      <c r="H30" s="14" t="n">
        <v>29.46752367079388</v>
      </c>
      <c r="I30" s="14" t="n">
        <v>50.39613062165846</v>
      </c>
      <c r="J30" s="6" t="inlineStr">
        <is>
          <t>measured</t>
        </is>
      </c>
      <c r="K30" s="6" t="inlineStr">
        <is>
          <t>Medido</t>
        </is>
      </c>
    </row>
    <row r="31">
      <c r="A31" s="12" t="n">
        <v>27</v>
      </c>
      <c r="B31" s="13" t="n">
        <v>45916</v>
      </c>
      <c r="C31" s="6" t="inlineStr">
        <is>
          <t>Secano</t>
        </is>
      </c>
      <c r="D31" s="6" t="inlineStr">
        <is>
          <t>M1</t>
        </is>
      </c>
      <c r="E31" s="6" t="inlineStr">
        <is>
          <t>R4</t>
        </is>
      </c>
      <c r="F31" s="12" t="n"/>
      <c r="G31" s="14" t="n"/>
      <c r="H31" s="14" t="n"/>
      <c r="I31" s="14" t="n"/>
      <c r="J31" s="6" t="inlineStr">
        <is>
          <t>estimated</t>
        </is>
      </c>
      <c r="K31" s="6" t="inlineStr">
        <is>
          <t>Estimado por modelo</t>
        </is>
      </c>
    </row>
    <row r="32">
      <c r="A32" s="12" t="n">
        <v>28</v>
      </c>
      <c r="B32" s="13" t="n">
        <v>45916</v>
      </c>
      <c r="C32" s="6" t="inlineStr">
        <is>
          <t>Secano</t>
        </is>
      </c>
      <c r="D32" s="6" t="inlineStr">
        <is>
          <t>M0</t>
        </is>
      </c>
      <c r="E32" s="6" t="inlineStr">
        <is>
          <t>R4</t>
        </is>
      </c>
      <c r="F32" s="12" t="n">
        <v>261343</v>
      </c>
      <c r="G32" s="14" t="n">
        <v>1.200149228480198</v>
      </c>
      <c r="H32" s="14" t="n">
        <v>29.01329686457403</v>
      </c>
      <c r="I32" s="14" t="n">
        <v>57.36571241985477</v>
      </c>
      <c r="J32" s="6" t="inlineStr">
        <is>
          <t>measured</t>
        </is>
      </c>
      <c r="K32" s="6" t="inlineStr">
        <is>
          <t>Medido</t>
        </is>
      </c>
    </row>
    <row r="33">
      <c r="A33" s="12" t="n">
        <v>29</v>
      </c>
      <c r="B33" s="13" t="n">
        <v>45916</v>
      </c>
      <c r="C33" s="6" t="inlineStr">
        <is>
          <t>Secano</t>
        </is>
      </c>
      <c r="D33" s="6" t="inlineStr">
        <is>
          <t>M5</t>
        </is>
      </c>
      <c r="E33" s="6" t="inlineStr">
        <is>
          <t>R4</t>
        </is>
      </c>
      <c r="F33" s="12" t="n">
        <v>261344</v>
      </c>
      <c r="G33" s="14" t="n">
        <v>1.830118849156594</v>
      </c>
      <c r="H33" s="14" t="n">
        <v>31.6028932993445</v>
      </c>
      <c r="I33" s="14" t="n">
        <v>53.50414089527204</v>
      </c>
      <c r="J33" s="6" t="inlineStr">
        <is>
          <t>measured</t>
        </is>
      </c>
      <c r="K33" s="6" t="inlineStr">
        <is>
          <t>Medido</t>
        </is>
      </c>
    </row>
    <row r="34">
      <c r="A34" s="12" t="n">
        <v>30</v>
      </c>
      <c r="B34" s="13" t="n">
        <v>45916</v>
      </c>
      <c r="C34" s="6" t="inlineStr">
        <is>
          <t>Secano</t>
        </is>
      </c>
      <c r="D34" s="6" t="inlineStr">
        <is>
          <t>M4</t>
        </is>
      </c>
      <c r="E34" s="6" t="inlineStr">
        <is>
          <t>R4</t>
        </is>
      </c>
      <c r="F34" s="12" t="n">
        <v>261345</v>
      </c>
      <c r="G34" s="14" t="n">
        <v>2.293777274019091</v>
      </c>
      <c r="H34" s="14" t="n">
        <v>31.87163146394756</v>
      </c>
      <c r="I34" s="14" t="n">
        <v>53.25141419436</v>
      </c>
      <c r="J34" s="6" t="inlineStr">
        <is>
          <t>measured</t>
        </is>
      </c>
      <c r="K34" s="6" t="inlineStr">
        <is>
          <t>Medido</t>
        </is>
      </c>
    </row>
    <row r="35">
      <c r="A35" s="12" t="n">
        <v>31</v>
      </c>
      <c r="B35" s="13" t="n">
        <v>45916</v>
      </c>
      <c r="C35" s="6" t="inlineStr">
        <is>
          <t>Secano</t>
        </is>
      </c>
      <c r="D35" s="6" t="inlineStr">
        <is>
          <t>M3</t>
        </is>
      </c>
      <c r="E35" s="6" t="inlineStr">
        <is>
          <t>R4</t>
        </is>
      </c>
      <c r="F35" s="12" t="n">
        <v>261346</v>
      </c>
      <c r="G35" s="14" t="n">
        <v>2.181144035976395</v>
      </c>
      <c r="H35" s="14" t="n">
        <v>31.24372906045157</v>
      </c>
      <c r="I35" s="14" t="n">
        <v>53.481123807527</v>
      </c>
      <c r="J35" s="6" t="inlineStr">
        <is>
          <t>measured</t>
        </is>
      </c>
      <c r="K35" s="6" t="inlineStr">
        <is>
          <t>Medido</t>
        </is>
      </c>
    </row>
    <row r="36">
      <c r="A36" s="12" t="n">
        <v>32</v>
      </c>
      <c r="B36" s="13" t="n">
        <v>45916</v>
      </c>
      <c r="C36" s="6" t="inlineStr">
        <is>
          <t>Secano</t>
        </is>
      </c>
      <c r="D36" s="6" t="inlineStr">
        <is>
          <t>M2</t>
        </is>
      </c>
      <c r="E36" s="6" t="inlineStr">
        <is>
          <t>R4</t>
        </is>
      </c>
      <c r="F36" s="12" t="n">
        <v>261347</v>
      </c>
      <c r="G36" s="14" t="n">
        <v>2.371948496246886</v>
      </c>
      <c r="H36" s="14" t="n">
        <v>31.63783685360524</v>
      </c>
      <c r="I36" s="14" t="n">
        <v>53.22848935947164</v>
      </c>
      <c r="J36" s="6" t="inlineStr">
        <is>
          <t>measured</t>
        </is>
      </c>
      <c r="K36" s="6" t="inlineStr">
        <is>
          <t>Medido</t>
        </is>
      </c>
    </row>
    <row r="37">
      <c r="A37" s="12" t="n">
        <v>33</v>
      </c>
      <c r="B37" s="13" t="n">
        <v>45916</v>
      </c>
      <c r="C37" s="6" t="inlineStr">
        <is>
          <t>Riego</t>
        </is>
      </c>
      <c r="D37" s="6" t="inlineStr">
        <is>
          <t>M0</t>
        </is>
      </c>
      <c r="E37" s="6" t="inlineStr">
        <is>
          <t>R1</t>
        </is>
      </c>
      <c r="F37" s="12" t="n">
        <v>261348</v>
      </c>
      <c r="G37" s="14" t="n">
        <v>1.052281913168497</v>
      </c>
      <c r="H37" s="14" t="n">
        <v>27.08489439184268</v>
      </c>
      <c r="I37" s="14" t="n">
        <v>47.27336303595765</v>
      </c>
      <c r="J37" s="6" t="inlineStr">
        <is>
          <t>measured</t>
        </is>
      </c>
      <c r="K37" s="6" t="inlineStr">
        <is>
          <t>Medido</t>
        </is>
      </c>
    </row>
    <row r="38">
      <c r="A38" s="12" t="n">
        <v>34</v>
      </c>
      <c r="B38" s="13" t="n">
        <v>45916</v>
      </c>
      <c r="C38" s="6" t="inlineStr">
        <is>
          <t>Riego</t>
        </is>
      </c>
      <c r="D38" s="6" t="inlineStr">
        <is>
          <t>M1</t>
        </is>
      </c>
      <c r="E38" s="6" t="inlineStr">
        <is>
          <t>R1</t>
        </is>
      </c>
      <c r="F38" s="12" t="n">
        <v>261349</v>
      </c>
      <c r="G38" s="14" t="n">
        <v>2.524765844158015</v>
      </c>
      <c r="H38" s="14" t="n">
        <v>33.66440416937859</v>
      </c>
      <c r="I38" s="14" t="n">
        <v>63.96210391643476</v>
      </c>
      <c r="J38" s="6" t="inlineStr">
        <is>
          <t>measured</t>
        </is>
      </c>
      <c r="K38" s="6" t="inlineStr">
        <is>
          <t>Medido</t>
        </is>
      </c>
    </row>
    <row r="39">
      <c r="A39" s="12" t="n">
        <v>35</v>
      </c>
      <c r="B39" s="13" t="n">
        <v>45916</v>
      </c>
      <c r="C39" s="6" t="inlineStr">
        <is>
          <t>Riego</t>
        </is>
      </c>
      <c r="D39" s="6" t="inlineStr">
        <is>
          <t>M2</t>
        </is>
      </c>
      <c r="E39" s="6" t="inlineStr">
        <is>
          <t>R1</t>
        </is>
      </c>
      <c r="F39" s="12" t="n">
        <v>261350</v>
      </c>
      <c r="G39" s="14" t="n">
        <v>1.982872748549744</v>
      </c>
      <c r="H39" s="14" t="n">
        <v>31.02532592862345</v>
      </c>
      <c r="I39" s="14" t="n">
        <v>53.19411783205788</v>
      </c>
      <c r="J39" s="6" t="inlineStr">
        <is>
          <t>measured</t>
        </is>
      </c>
      <c r="K39" s="6" t="inlineStr">
        <is>
          <t>Medido</t>
        </is>
      </c>
    </row>
    <row r="40">
      <c r="A40" s="12" t="n">
        <v>36</v>
      </c>
      <c r="B40" s="13" t="n">
        <v>45916</v>
      </c>
      <c r="C40" s="6" t="inlineStr">
        <is>
          <t>Riego</t>
        </is>
      </c>
      <c r="D40" s="6" t="inlineStr">
        <is>
          <t>M3</t>
        </is>
      </c>
      <c r="E40" s="6" t="inlineStr">
        <is>
          <t>R1</t>
        </is>
      </c>
      <c r="F40" s="12" t="n">
        <v>261351</v>
      </c>
      <c r="G40" s="14" t="n">
        <v>1.97238957487002</v>
      </c>
      <c r="H40" s="14" t="n">
        <v>31.04825382374363</v>
      </c>
      <c r="I40" s="14" t="n">
        <v>52.62403711080827</v>
      </c>
      <c r="J40" s="6" t="inlineStr">
        <is>
          <t>measured</t>
        </is>
      </c>
      <c r="K40" s="6" t="inlineStr">
        <is>
          <t>Medido</t>
        </is>
      </c>
    </row>
    <row r="41">
      <c r="A41" s="12" t="n">
        <v>37</v>
      </c>
      <c r="B41" s="13" t="n">
        <v>45916</v>
      </c>
      <c r="C41" s="6" t="inlineStr">
        <is>
          <t>Riego</t>
        </is>
      </c>
      <c r="D41" s="6" t="inlineStr">
        <is>
          <t>M4</t>
        </is>
      </c>
      <c r="E41" s="6" t="inlineStr">
        <is>
          <t>R1</t>
        </is>
      </c>
      <c r="F41" s="12" t="n">
        <v>261352</v>
      </c>
      <c r="G41" s="14" t="n">
        <v>1.777484715047562</v>
      </c>
      <c r="H41" s="14" t="n">
        <v>30.80823743627094</v>
      </c>
      <c r="I41" s="14" t="n">
        <v>52.0929405598071</v>
      </c>
      <c r="J41" s="6" t="inlineStr">
        <is>
          <t>measured</t>
        </is>
      </c>
      <c r="K41" s="6" t="inlineStr">
        <is>
          <t>Medido</t>
        </is>
      </c>
    </row>
    <row r="42">
      <c r="A42" s="12" t="n">
        <v>38</v>
      </c>
      <c r="B42" s="13" t="n">
        <v>45916</v>
      </c>
      <c r="C42" s="6" t="inlineStr">
        <is>
          <t>Riego</t>
        </is>
      </c>
      <c r="D42" s="6" t="inlineStr">
        <is>
          <t>M5</t>
        </is>
      </c>
      <c r="E42" s="6" t="inlineStr">
        <is>
          <t>R1</t>
        </is>
      </c>
      <c r="F42" s="12" t="n">
        <v>261353</v>
      </c>
      <c r="G42" s="14" t="n">
        <v>2.008206977949412</v>
      </c>
      <c r="H42" s="14" t="n">
        <v>31.30142206846322</v>
      </c>
      <c r="I42" s="14" t="n">
        <v>52.60134290806164</v>
      </c>
      <c r="J42" s="6" t="inlineStr">
        <is>
          <t>measured</t>
        </is>
      </c>
      <c r="K42" s="6" t="inlineStr">
        <is>
          <t>Medido</t>
        </is>
      </c>
    </row>
    <row r="43">
      <c r="A43" s="12" t="n">
        <v>39</v>
      </c>
      <c r="B43" s="13" t="n">
        <v>45916</v>
      </c>
      <c r="C43" s="6" t="inlineStr">
        <is>
          <t>Riego</t>
        </is>
      </c>
      <c r="D43" s="6" t="inlineStr">
        <is>
          <t>M3</t>
        </is>
      </c>
      <c r="E43" s="6" t="inlineStr">
        <is>
          <t>R2</t>
        </is>
      </c>
      <c r="F43" s="12" t="n">
        <v>261354</v>
      </c>
      <c r="G43" s="14" t="n">
        <v>1.616375090693281</v>
      </c>
      <c r="H43" s="14" t="n">
        <v>29.86423160961399</v>
      </c>
      <c r="I43" s="14" t="n">
        <v>51.4773257154838</v>
      </c>
      <c r="J43" s="6" t="inlineStr">
        <is>
          <t>measured</t>
        </is>
      </c>
      <c r="K43" s="6" t="inlineStr">
        <is>
          <t>Medido</t>
        </is>
      </c>
    </row>
    <row r="44">
      <c r="A44" s="12" t="n">
        <v>40</v>
      </c>
      <c r="B44" s="13" t="n">
        <v>45916</v>
      </c>
      <c r="C44" s="6" t="inlineStr">
        <is>
          <t>Riego</t>
        </is>
      </c>
      <c r="D44" s="6" t="inlineStr">
        <is>
          <t>M2</t>
        </is>
      </c>
      <c r="E44" s="6" t="inlineStr">
        <is>
          <t>R2</t>
        </is>
      </c>
      <c r="F44" s="12" t="n">
        <v>261355</v>
      </c>
      <c r="G44" s="14" t="n">
        <v>2.579342006453015</v>
      </c>
      <c r="H44" s="14" t="n">
        <v>32.26057720320466</v>
      </c>
      <c r="I44" s="14" t="n">
        <v>53.41212286403186</v>
      </c>
      <c r="J44" s="6" t="inlineStr">
        <is>
          <t>measured</t>
        </is>
      </c>
      <c r="K44" s="6" t="inlineStr">
        <is>
          <t>Medido</t>
        </is>
      </c>
    </row>
    <row r="45">
      <c r="A45" s="12" t="n">
        <v>41</v>
      </c>
      <c r="B45" s="13" t="n">
        <v>45916</v>
      </c>
      <c r="C45" s="6" t="inlineStr">
        <is>
          <t>Riego</t>
        </is>
      </c>
      <c r="D45" s="6" t="inlineStr">
        <is>
          <t>M4</t>
        </is>
      </c>
      <c r="E45" s="6" t="inlineStr">
        <is>
          <t>R2</t>
        </is>
      </c>
      <c r="F45" s="12" t="n">
        <v>261356</v>
      </c>
      <c r="G45" s="14" t="n">
        <v>2.01670650149623</v>
      </c>
      <c r="H45" s="14" t="n">
        <v>29.61023488710852</v>
      </c>
      <c r="I45" s="14" t="n">
        <v>50.00401404759409</v>
      </c>
      <c r="J45" s="6" t="inlineStr">
        <is>
          <t>measured</t>
        </is>
      </c>
      <c r="K45" s="6" t="inlineStr">
        <is>
          <t>Medido</t>
        </is>
      </c>
    </row>
    <row r="46">
      <c r="A46" s="12" t="n">
        <v>42</v>
      </c>
      <c r="B46" s="13" t="n">
        <v>45916</v>
      </c>
      <c r="C46" s="6" t="inlineStr">
        <is>
          <t>Riego</t>
        </is>
      </c>
      <c r="D46" s="6" t="inlineStr">
        <is>
          <t>M0</t>
        </is>
      </c>
      <c r="E46" s="6" t="inlineStr">
        <is>
          <t>R2</t>
        </is>
      </c>
      <c r="F46" s="12" t="n">
        <v>261357</v>
      </c>
      <c r="G46" s="14" t="n">
        <v>1.375054624939398</v>
      </c>
      <c r="H46" s="14" t="n">
        <v>31.60753104559947</v>
      </c>
      <c r="I46" s="14" t="n">
        <v>59.94441512648573</v>
      </c>
      <c r="J46" s="6" t="inlineStr">
        <is>
          <t>measured</t>
        </is>
      </c>
      <c r="K46" s="6" t="inlineStr">
        <is>
          <t>Medido</t>
        </is>
      </c>
    </row>
    <row r="47">
      <c r="A47" s="12" t="n">
        <v>43</v>
      </c>
      <c r="B47" s="13" t="n">
        <v>45916</v>
      </c>
      <c r="C47" s="6" t="inlineStr">
        <is>
          <t>Riego</t>
        </is>
      </c>
      <c r="D47" s="6" t="inlineStr">
        <is>
          <t>M1</t>
        </is>
      </c>
      <c r="E47" s="6" t="inlineStr">
        <is>
          <t>R2</t>
        </is>
      </c>
      <c r="F47" s="12" t="n">
        <v>261358</v>
      </c>
      <c r="G47" s="14" t="n">
        <v>1.85391237942391</v>
      </c>
      <c r="H47" s="14" t="n">
        <v>31.22067734887109</v>
      </c>
      <c r="I47" s="14" t="n">
        <v>52.88562323094663</v>
      </c>
      <c r="J47" s="6" t="inlineStr">
        <is>
          <t>measured</t>
        </is>
      </c>
      <c r="K47" s="6" t="inlineStr">
        <is>
          <t>Medido</t>
        </is>
      </c>
    </row>
    <row r="48">
      <c r="A48" s="12" t="n">
        <v>44</v>
      </c>
      <c r="B48" s="13" t="n">
        <v>45916</v>
      </c>
      <c r="C48" s="6" t="inlineStr">
        <is>
          <t>Riego</t>
        </is>
      </c>
      <c r="D48" s="6" t="inlineStr">
        <is>
          <t>M5</t>
        </is>
      </c>
      <c r="E48" s="6" t="inlineStr">
        <is>
          <t>R2</t>
        </is>
      </c>
      <c r="F48" s="12" t="n">
        <v>261359</v>
      </c>
      <c r="G48" s="14" t="n">
        <v>1.579427841583496</v>
      </c>
      <c r="H48" s="14" t="n">
        <v>30.80823743627094</v>
      </c>
      <c r="I48" s="14" t="n">
        <v>52.30708145507915</v>
      </c>
      <c r="J48" s="6" t="inlineStr">
        <is>
          <t>measured</t>
        </is>
      </c>
      <c r="K48" s="6" t="inlineStr">
        <is>
          <t>Medido</t>
        </is>
      </c>
    </row>
    <row r="49">
      <c r="A49" s="12" t="n">
        <v>45</v>
      </c>
      <c r="B49" s="13" t="n">
        <v>45916</v>
      </c>
      <c r="C49" s="6" t="inlineStr">
        <is>
          <t>Riego</t>
        </is>
      </c>
      <c r="D49" s="6" t="inlineStr">
        <is>
          <t>M3</t>
        </is>
      </c>
      <c r="E49" s="6" t="inlineStr">
        <is>
          <t>R3</t>
        </is>
      </c>
      <c r="F49" s="12" t="n">
        <v>261360</v>
      </c>
      <c r="G49" s="14" t="n">
        <v>2.09881806175502</v>
      </c>
      <c r="H49" s="14" t="n">
        <v>30.6831554989075</v>
      </c>
      <c r="I49" s="14" t="n">
        <v>51.41055142048432</v>
      </c>
      <c r="J49" s="6" t="inlineStr">
        <is>
          <t>measured</t>
        </is>
      </c>
      <c r="K49" s="6" t="inlineStr">
        <is>
          <t>Medido</t>
        </is>
      </c>
    </row>
    <row r="50">
      <c r="A50" s="12" t="n">
        <v>46</v>
      </c>
      <c r="B50" s="13" t="n">
        <v>45916</v>
      </c>
      <c r="C50" s="6" t="inlineStr">
        <is>
          <t>Riego</t>
        </is>
      </c>
      <c r="D50" s="6" t="inlineStr">
        <is>
          <t>M4</t>
        </is>
      </c>
      <c r="E50" s="6" t="inlineStr">
        <is>
          <t>R3</t>
        </is>
      </c>
      <c r="F50" s="12" t="n">
        <v>261361</v>
      </c>
      <c r="G50" s="14" t="n">
        <v>2.303153284183426</v>
      </c>
      <c r="H50" s="14" t="n">
        <v>29.68733430444282</v>
      </c>
      <c r="I50" s="14" t="n">
        <v>50.51648600482231</v>
      </c>
      <c r="J50" s="6" t="inlineStr">
        <is>
          <t>measured</t>
        </is>
      </c>
      <c r="K50" s="6" t="inlineStr">
        <is>
          <t>Medido</t>
        </is>
      </c>
    </row>
    <row r="51">
      <c r="A51" s="12" t="n">
        <v>47</v>
      </c>
      <c r="B51" s="13" t="n">
        <v>45916</v>
      </c>
      <c r="C51" s="6" t="inlineStr">
        <is>
          <t>Riego</t>
        </is>
      </c>
      <c r="D51" s="6" t="inlineStr">
        <is>
          <t>M0</t>
        </is>
      </c>
      <c r="E51" s="6" t="inlineStr">
        <is>
          <t>R3</t>
        </is>
      </c>
      <c r="F51" s="12" t="n">
        <v>261362</v>
      </c>
      <c r="G51" s="14" t="n">
        <v>1.582914101342428</v>
      </c>
      <c r="H51" s="14" t="n">
        <v>28.25295884923525</v>
      </c>
      <c r="I51" s="14" t="n">
        <v>48.62124331690952</v>
      </c>
      <c r="J51" s="6" t="inlineStr">
        <is>
          <t>measured</t>
        </is>
      </c>
      <c r="K51" s="6" t="inlineStr">
        <is>
          <t>Medido</t>
        </is>
      </c>
    </row>
    <row r="52">
      <c r="A52" s="12" t="n">
        <v>48</v>
      </c>
      <c r="B52" s="13" t="n">
        <v>45916</v>
      </c>
      <c r="C52" s="6" t="inlineStr">
        <is>
          <t>Riego</t>
        </is>
      </c>
      <c r="D52" s="6" t="inlineStr">
        <is>
          <t>M1</t>
        </is>
      </c>
      <c r="E52" s="6" t="inlineStr">
        <is>
          <t>R3</t>
        </is>
      </c>
      <c r="F52" s="12" t="n">
        <v>261363</v>
      </c>
      <c r="G52" s="14" t="n">
        <v>2.47166725178461</v>
      </c>
      <c r="H52" s="14" t="n">
        <v>32.34359067734887</v>
      </c>
      <c r="I52" s="14" t="n">
        <v>54.26840968654995</v>
      </c>
      <c r="J52" s="6" t="inlineStr">
        <is>
          <t>measured</t>
        </is>
      </c>
      <c r="K52" s="6" t="inlineStr">
        <is>
          <t>Medido</t>
        </is>
      </c>
    </row>
    <row r="53">
      <c r="A53" s="12" t="n">
        <v>49</v>
      </c>
      <c r="B53" s="13" t="n">
        <v>45916</v>
      </c>
      <c r="C53" s="6" t="inlineStr">
        <is>
          <t>Riego</t>
        </is>
      </c>
      <c r="D53" s="6" t="inlineStr">
        <is>
          <t>M5</t>
        </is>
      </c>
      <c r="E53" s="6" t="inlineStr">
        <is>
          <t>R3</t>
        </is>
      </c>
      <c r="F53" s="12" t="n">
        <v>261364</v>
      </c>
      <c r="G53" s="14" t="n">
        <v>2.057938500760653</v>
      </c>
      <c r="H53" s="14" t="n">
        <v>31.20710229608481</v>
      </c>
      <c r="I53" s="14" t="n">
        <v>61.38834988438413</v>
      </c>
      <c r="J53" s="6" t="inlineStr">
        <is>
          <t>measured</t>
        </is>
      </c>
      <c r="K53" s="6" t="inlineStr">
        <is>
          <t>Medido</t>
        </is>
      </c>
    </row>
    <row r="54">
      <c r="A54" s="12" t="n">
        <v>50</v>
      </c>
      <c r="B54" s="13" t="n">
        <v>45916</v>
      </c>
      <c r="C54" s="6" t="inlineStr">
        <is>
          <t>Riego</t>
        </is>
      </c>
      <c r="D54" s="6" t="inlineStr">
        <is>
          <t>M2</t>
        </is>
      </c>
      <c r="E54" s="6" t="inlineStr">
        <is>
          <t>R3</t>
        </is>
      </c>
      <c r="F54" s="12" t="n">
        <v>261365</v>
      </c>
      <c r="G54" s="14" t="n">
        <v>2.081325990939031</v>
      </c>
      <c r="H54" s="14" t="n">
        <v>31.77793882010197</v>
      </c>
      <c r="I54" s="14" t="n">
        <v>52.88562323094663</v>
      </c>
      <c r="J54" s="6" t="inlineStr">
        <is>
          <t>measured</t>
        </is>
      </c>
      <c r="K54" s="6" t="inlineStr">
        <is>
          <t>Medido</t>
        </is>
      </c>
    </row>
    <row r="55">
      <c r="A55" s="12" t="n">
        <v>51</v>
      </c>
      <c r="B55" s="13" t="n">
        <v>45916</v>
      </c>
      <c r="C55" s="6" t="inlineStr">
        <is>
          <t>Riego</t>
        </is>
      </c>
      <c r="D55" s="6" t="inlineStr">
        <is>
          <t>M1</t>
        </is>
      </c>
      <c r="E55" s="6" t="inlineStr">
        <is>
          <t>R4</t>
        </is>
      </c>
      <c r="F55" s="12" t="n">
        <v>261366</v>
      </c>
      <c r="G55" s="14" t="n">
        <v>2.615081946603808</v>
      </c>
      <c r="H55" s="14" t="n">
        <v>31.55635287691187</v>
      </c>
      <c r="I55" s="14" t="n">
        <v>53.26287975678792</v>
      </c>
      <c r="J55" s="6" t="inlineStr">
        <is>
          <t>measured</t>
        </is>
      </c>
      <c r="K55" s="6" t="inlineStr">
        <is>
          <t>Medido</t>
        </is>
      </c>
    </row>
    <row r="56">
      <c r="A56" s="12" t="n">
        <v>52</v>
      </c>
      <c r="B56" s="13" t="n">
        <v>45916</v>
      </c>
      <c r="C56" s="6" t="inlineStr">
        <is>
          <t>Riego</t>
        </is>
      </c>
      <c r="D56" s="6" t="inlineStr">
        <is>
          <t>M0</t>
        </is>
      </c>
      <c r="E56" s="6" t="inlineStr">
        <is>
          <t>R4</t>
        </is>
      </c>
      <c r="F56" s="12" t="n">
        <v>261367</v>
      </c>
      <c r="G56" s="14" t="n">
        <v>1.283714181587174</v>
      </c>
      <c r="H56" s="14" t="n">
        <v>25.16914785142025</v>
      </c>
      <c r="I56" s="14" t="n">
        <v>44.84870950833421</v>
      </c>
      <c r="J56" s="6" t="inlineStr">
        <is>
          <t>measured</t>
        </is>
      </c>
      <c r="K56" s="6" t="inlineStr">
        <is>
          <t>Medido</t>
        </is>
      </c>
    </row>
    <row r="57">
      <c r="A57" s="12" t="n">
        <v>53</v>
      </c>
      <c r="B57" s="13" t="n">
        <v>45916</v>
      </c>
      <c r="C57" s="6" t="inlineStr">
        <is>
          <t>Riego</t>
        </is>
      </c>
      <c r="D57" s="6" t="inlineStr">
        <is>
          <t>M5</t>
        </is>
      </c>
      <c r="E57" s="6" t="inlineStr">
        <is>
          <t>R4</t>
        </is>
      </c>
      <c r="F57" s="12" t="n">
        <v>261368</v>
      </c>
      <c r="G57" s="14" t="n">
        <v>1.98474136951034</v>
      </c>
      <c r="H57" s="14" t="n">
        <v>32.50007273287702</v>
      </c>
      <c r="I57" s="14" t="n">
        <v>62.25280423997313</v>
      </c>
      <c r="J57" s="6" t="inlineStr">
        <is>
          <t>measured</t>
        </is>
      </c>
      <c r="K57" s="6" t="inlineStr">
        <is>
          <t>Medido</t>
        </is>
      </c>
    </row>
    <row r="58">
      <c r="A58" s="12" t="n">
        <v>54</v>
      </c>
      <c r="B58" s="13" t="n">
        <v>45916</v>
      </c>
      <c r="C58" s="6" t="inlineStr">
        <is>
          <t>Riego</t>
        </is>
      </c>
      <c r="D58" s="6" t="inlineStr">
        <is>
          <t>M4</t>
        </is>
      </c>
      <c r="E58" s="6" t="inlineStr">
        <is>
          <t>R4</t>
        </is>
      </c>
      <c r="F58" s="12" t="n">
        <v>261369</v>
      </c>
      <c r="G58" s="14" t="n">
        <v>1.666812444622766</v>
      </c>
      <c r="H58" s="14" t="n">
        <v>29.57724690458849</v>
      </c>
      <c r="I58" s="14" t="n">
        <v>50.81297934794003</v>
      </c>
      <c r="J58" s="6" t="inlineStr">
        <is>
          <t>measured</t>
        </is>
      </c>
      <c r="K58" s="6" t="inlineStr">
        <is>
          <t>Medido</t>
        </is>
      </c>
    </row>
    <row r="59">
      <c r="A59" s="12" t="n">
        <v>55</v>
      </c>
      <c r="B59" s="13" t="n">
        <v>45916</v>
      </c>
      <c r="C59" s="6" t="inlineStr">
        <is>
          <t>Riego</t>
        </is>
      </c>
      <c r="D59" s="6" t="inlineStr">
        <is>
          <t>M3</t>
        </is>
      </c>
      <c r="E59" s="6" t="inlineStr">
        <is>
          <t>R4</t>
        </is>
      </c>
      <c r="F59" s="12" t="n">
        <v>261370</v>
      </c>
      <c r="G59" s="14" t="n">
        <v>1.512814430680242</v>
      </c>
      <c r="H59" s="14" t="n">
        <v>28.75248361252731</v>
      </c>
      <c r="I59" s="14" t="n">
        <v>49.17444176538421</v>
      </c>
      <c r="J59" s="6" t="inlineStr">
        <is>
          <t>measured</t>
        </is>
      </c>
      <c r="K59" s="6" t="inlineStr">
        <is>
          <t>Medido</t>
        </is>
      </c>
    </row>
    <row r="60">
      <c r="A60" s="12" t="n">
        <v>56</v>
      </c>
      <c r="B60" s="13" t="n">
        <v>45916</v>
      </c>
      <c r="C60" s="6" t="inlineStr">
        <is>
          <t>Riego</t>
        </is>
      </c>
      <c r="D60" s="6" t="inlineStr">
        <is>
          <t>M2</t>
        </is>
      </c>
      <c r="E60" s="6" t="inlineStr">
        <is>
          <t>R4</t>
        </is>
      </c>
      <c r="F60" s="12" t="n">
        <v>261371</v>
      </c>
      <c r="G60" s="14" t="n">
        <v>2.800841514953943</v>
      </c>
      <c r="H60" s="14" t="n">
        <v>32.53030419979438</v>
      </c>
      <c r="I60" s="14" t="n">
        <v>59.93103225095806</v>
      </c>
      <c r="J60" s="6" t="inlineStr">
        <is>
          <t>measured</t>
        </is>
      </c>
      <c r="K60" s="6" t="inlineStr">
        <is>
          <t>Medido</t>
        </is>
      </c>
    </row>
    <row r="61">
      <c r="A61" s="12" t="n">
        <v>57</v>
      </c>
      <c r="B61" s="13" t="n">
        <v>45950</v>
      </c>
      <c r="C61" s="6" t="inlineStr">
        <is>
          <t>Secano</t>
        </is>
      </c>
      <c r="D61" s="6" t="inlineStr">
        <is>
          <t>M0</t>
        </is>
      </c>
      <c r="E61" s="6" t="inlineStr">
        <is>
          <t>R1</t>
        </is>
      </c>
      <c r="F61" s="12" t="n">
        <v>261372</v>
      </c>
      <c r="G61" s="14" t="n">
        <v>0.967179684705017</v>
      </c>
      <c r="H61" s="14" t="n">
        <v>33.14717589220685</v>
      </c>
      <c r="I61" s="14" t="n">
        <v>48.70598175909425</v>
      </c>
      <c r="J61" s="6" t="inlineStr">
        <is>
          <t>measured</t>
        </is>
      </c>
      <c r="K61" s="6" t="inlineStr">
        <is>
          <t>Medido</t>
        </is>
      </c>
    </row>
    <row r="62">
      <c r="A62" s="12" t="n">
        <v>58</v>
      </c>
      <c r="B62" s="13" t="n">
        <v>45950</v>
      </c>
      <c r="C62" s="6" t="inlineStr">
        <is>
          <t>Secano</t>
        </is>
      </c>
      <c r="D62" s="6" t="inlineStr">
        <is>
          <t>M1</t>
        </is>
      </c>
      <c r="E62" s="6" t="inlineStr">
        <is>
          <t>R1</t>
        </is>
      </c>
      <c r="F62" s="12" t="n">
        <v>261373</v>
      </c>
      <c r="G62" s="14" t="n">
        <v>1.190613145092532</v>
      </c>
      <c r="H62" s="14" t="n">
        <v>37.48590736825608</v>
      </c>
      <c r="I62" s="14" t="n">
        <v>66.28379998135482</v>
      </c>
      <c r="J62" s="6" t="inlineStr">
        <is>
          <t>measured</t>
        </is>
      </c>
      <c r="K62" s="6" t="inlineStr">
        <is>
          <t>Medido</t>
        </is>
      </c>
    </row>
    <row r="63">
      <c r="A63" s="12" t="n">
        <v>59</v>
      </c>
      <c r="B63" s="13" t="n">
        <v>45950</v>
      </c>
      <c r="C63" s="6" t="inlineStr">
        <is>
          <t>Secano</t>
        </is>
      </c>
      <c r="D63" s="6" t="inlineStr">
        <is>
          <t>M2</t>
        </is>
      </c>
      <c r="E63" s="6" t="inlineStr">
        <is>
          <t>R1</t>
        </is>
      </c>
      <c r="F63" s="12" t="n">
        <v>261374</v>
      </c>
      <c r="G63" s="14" t="n">
        <v>2.035930574920173</v>
      </c>
      <c r="H63" s="14" t="n">
        <v>35.79756190823015</v>
      </c>
      <c r="I63" s="14" t="n">
        <v>51.7228105671454</v>
      </c>
      <c r="J63" s="6" t="inlineStr">
        <is>
          <t>measured</t>
        </is>
      </c>
      <c r="K63" s="6" t="inlineStr">
        <is>
          <t>Medido</t>
        </is>
      </c>
    </row>
    <row r="64">
      <c r="A64" s="12" t="n">
        <v>60</v>
      </c>
      <c r="B64" s="13" t="n">
        <v>45950</v>
      </c>
      <c r="C64" s="6" t="inlineStr">
        <is>
          <t>Secano</t>
        </is>
      </c>
      <c r="D64" s="6" t="inlineStr">
        <is>
          <t>M3</t>
        </is>
      </c>
      <c r="E64" s="6" t="inlineStr">
        <is>
          <t>R1</t>
        </is>
      </c>
      <c r="F64" s="12" t="n">
        <v>261375</v>
      </c>
      <c r="G64" s="14" t="n">
        <v>1.410708447431332</v>
      </c>
      <c r="H64" s="14" t="n">
        <v>38.54336489439184</v>
      </c>
      <c r="I64" s="14" t="n">
        <v>54.11714959639374</v>
      </c>
      <c r="J64" s="6" t="inlineStr">
        <is>
          <t>measured</t>
        </is>
      </c>
      <c r="K64" s="6" t="inlineStr">
        <is>
          <t>Medido</t>
        </is>
      </c>
    </row>
    <row r="65">
      <c r="A65" s="12" t="n">
        <v>61</v>
      </c>
      <c r="B65" s="13" t="n">
        <v>45950</v>
      </c>
      <c r="C65" s="6" t="inlineStr">
        <is>
          <t>Secano</t>
        </is>
      </c>
      <c r="D65" s="6" t="inlineStr">
        <is>
          <t>M4</t>
        </is>
      </c>
      <c r="E65" s="6" t="inlineStr">
        <is>
          <t>R1</t>
        </is>
      </c>
      <c r="F65" s="12" t="n">
        <v>261376</v>
      </c>
      <c r="G65" s="14" t="n">
        <v>1.60927931524483</v>
      </c>
      <c r="H65" s="14" t="n">
        <v>37.82547159504734</v>
      </c>
      <c r="I65" s="14" t="n">
        <v>53.8041262186812</v>
      </c>
      <c r="J65" s="6" t="inlineStr">
        <is>
          <t>measured</t>
        </is>
      </c>
      <c r="K65" s="6" t="inlineStr">
        <is>
          <t>Medido</t>
        </is>
      </c>
    </row>
    <row r="66">
      <c r="A66" s="12" t="n">
        <v>62</v>
      </c>
      <c r="B66" s="13" t="n">
        <v>45950</v>
      </c>
      <c r="C66" s="6" t="inlineStr">
        <is>
          <t>Secano</t>
        </is>
      </c>
      <c r="D66" s="6" t="inlineStr">
        <is>
          <t>M5</t>
        </is>
      </c>
      <c r="E66" s="6" t="inlineStr">
        <is>
          <t>R1</t>
        </is>
      </c>
      <c r="F66" s="12" t="n">
        <v>261377</v>
      </c>
      <c r="G66" s="14" t="n">
        <v>1.618153314275206</v>
      </c>
      <c r="H66" s="14" t="n">
        <v>35.5021048798252</v>
      </c>
      <c r="I66" s="14" t="n">
        <v>51.04464199601635</v>
      </c>
      <c r="J66" s="6" t="inlineStr">
        <is>
          <t>measured</t>
        </is>
      </c>
      <c r="K66" s="6" t="inlineStr">
        <is>
          <t>Medido</t>
        </is>
      </c>
    </row>
    <row r="67">
      <c r="A67" s="12" t="n">
        <v>63</v>
      </c>
      <c r="B67" s="13" t="n">
        <v>45950</v>
      </c>
      <c r="C67" s="6" t="inlineStr">
        <is>
          <t>Secano</t>
        </is>
      </c>
      <c r="D67" s="6" t="inlineStr">
        <is>
          <t>M3</t>
        </is>
      </c>
      <c r="E67" s="6" t="inlineStr">
        <is>
          <t>R2</t>
        </is>
      </c>
      <c r="F67" s="12" t="n">
        <v>261378</v>
      </c>
      <c r="G67" s="14" t="n">
        <v>1.756398963505358</v>
      </c>
      <c r="H67" s="14" t="n">
        <v>38.36633102694829</v>
      </c>
      <c r="I67" s="14" t="n">
        <v>54.66568822727749</v>
      </c>
      <c r="J67" s="6" t="inlineStr">
        <is>
          <t>measured</t>
        </is>
      </c>
      <c r="K67" s="6" t="inlineStr">
        <is>
          <t>Medido</t>
        </is>
      </c>
    </row>
    <row r="68">
      <c r="A68" s="12" t="n">
        <v>64</v>
      </c>
      <c r="B68" s="13" t="n">
        <v>45950</v>
      </c>
      <c r="C68" s="6" t="inlineStr">
        <is>
          <t>Secano</t>
        </is>
      </c>
      <c r="D68" s="6" t="inlineStr">
        <is>
          <t>M2</t>
        </is>
      </c>
      <c r="E68" s="6" t="inlineStr">
        <is>
          <t>R2</t>
        </is>
      </c>
      <c r="F68" s="12" t="n">
        <v>261379</v>
      </c>
      <c r="G68" s="14" t="n">
        <v>1.316104186100941</v>
      </c>
      <c r="H68" s="14" t="n">
        <v>37.06763362728995</v>
      </c>
      <c r="I68" s="14" t="n">
        <v>66.07737759773407</v>
      </c>
      <c r="J68" s="6" t="inlineStr">
        <is>
          <t>measured</t>
        </is>
      </c>
      <c r="K68" s="6" t="inlineStr">
        <is>
          <t>Medido</t>
        </is>
      </c>
    </row>
    <row r="69">
      <c r="A69" s="12" t="n">
        <v>65</v>
      </c>
      <c r="B69" s="13" t="n">
        <v>45950</v>
      </c>
      <c r="C69" s="6" t="inlineStr">
        <is>
          <t>Secano</t>
        </is>
      </c>
      <c r="D69" s="6" t="inlineStr">
        <is>
          <t>M4</t>
        </is>
      </c>
      <c r="E69" s="6" t="inlineStr">
        <is>
          <t>R2</t>
        </is>
      </c>
      <c r="F69" s="12" t="n">
        <v>261380</v>
      </c>
      <c r="G69" s="14" t="n">
        <v>1.752587445040708</v>
      </c>
      <c r="H69" s="14" t="n">
        <v>38.62528040786599</v>
      </c>
      <c r="I69" s="14" t="n">
        <v>54.71258622497117</v>
      </c>
      <c r="J69" s="6" t="inlineStr">
        <is>
          <t>measured</t>
        </is>
      </c>
      <c r="K69" s="6" t="inlineStr">
        <is>
          <t>Medido</t>
        </is>
      </c>
    </row>
    <row r="70">
      <c r="A70" s="12" t="n">
        <v>66</v>
      </c>
      <c r="B70" s="13" t="n">
        <v>45950</v>
      </c>
      <c r="C70" s="6" t="inlineStr">
        <is>
          <t>Secano</t>
        </is>
      </c>
      <c r="D70" s="6" t="inlineStr">
        <is>
          <t>M0</t>
        </is>
      </c>
      <c r="E70" s="6" t="inlineStr">
        <is>
          <t>R2</t>
        </is>
      </c>
      <c r="F70" s="12" t="n">
        <v>261381</v>
      </c>
      <c r="G70" s="14" t="n">
        <v>1.099149552802715</v>
      </c>
      <c r="H70" s="14" t="n">
        <v>34.55204115076475</v>
      </c>
      <c r="I70" s="14" t="n">
        <v>43.47495649439145</v>
      </c>
      <c r="J70" s="6" t="inlineStr">
        <is>
          <t>measured</t>
        </is>
      </c>
      <c r="K70" s="6" t="inlineStr">
        <is>
          <t>Medido</t>
        </is>
      </c>
    </row>
    <row r="71">
      <c r="A71" s="12" t="n">
        <v>67</v>
      </c>
      <c r="B71" s="13" t="n">
        <v>45950</v>
      </c>
      <c r="C71" s="6" t="inlineStr">
        <is>
          <t>Secano</t>
        </is>
      </c>
      <c r="D71" s="6" t="inlineStr">
        <is>
          <t>M1</t>
        </is>
      </c>
      <c r="E71" s="6" t="inlineStr">
        <is>
          <t>R2</t>
        </is>
      </c>
      <c r="F71" s="12" t="n">
        <v>261382</v>
      </c>
      <c r="G71" s="14" t="n">
        <v>1.364474634301285</v>
      </c>
      <c r="H71" s="14" t="n">
        <v>39.06437727603787</v>
      </c>
      <c r="I71" s="14" t="n">
        <v>48.78252332529616</v>
      </c>
      <c r="J71" s="6" t="inlineStr">
        <is>
          <t>measured</t>
        </is>
      </c>
      <c r="K71" s="6" t="inlineStr">
        <is>
          <t>Medido</t>
        </is>
      </c>
    </row>
    <row r="72">
      <c r="A72" s="12" t="n">
        <v>68</v>
      </c>
      <c r="B72" s="13" t="n">
        <v>45950</v>
      </c>
      <c r="C72" s="6" t="inlineStr">
        <is>
          <t>Secano</t>
        </is>
      </c>
      <c r="D72" s="6" t="inlineStr">
        <is>
          <t>M5</t>
        </is>
      </c>
      <c r="E72" s="6" t="inlineStr">
        <is>
          <t>R2</t>
        </is>
      </c>
      <c r="F72" s="12" t="n">
        <v>261383</v>
      </c>
      <c r="G72" s="14" t="n">
        <v>1.618153314275206</v>
      </c>
      <c r="H72" s="14" t="n">
        <v>37.73142024763292</v>
      </c>
      <c r="I72" s="14" t="n">
        <v>46.9768749344795</v>
      </c>
      <c r="J72" s="6" t="inlineStr">
        <is>
          <t>measured</t>
        </is>
      </c>
      <c r="K72" s="6" t="inlineStr">
        <is>
          <t>Medido</t>
        </is>
      </c>
    </row>
    <row r="73">
      <c r="A73" s="12" t="n">
        <v>69</v>
      </c>
      <c r="B73" s="13" t="n">
        <v>45950</v>
      </c>
      <c r="C73" s="6" t="inlineStr">
        <is>
          <t>Secano</t>
        </is>
      </c>
      <c r="D73" s="6" t="inlineStr">
        <is>
          <t>M3</t>
        </is>
      </c>
      <c r="E73" s="6" t="inlineStr">
        <is>
          <t>R3</t>
        </is>
      </c>
      <c r="F73" s="12" t="n">
        <v>261384</v>
      </c>
      <c r="G73" s="14" t="n">
        <v>1.64503209455506</v>
      </c>
      <c r="H73" s="14" t="n">
        <v>38.08165331391115</v>
      </c>
      <c r="I73" s="14" t="n">
        <v>54.04745675647342</v>
      </c>
      <c r="J73" s="6" t="inlineStr">
        <is>
          <t>measured</t>
        </is>
      </c>
      <c r="K73" s="6" t="inlineStr">
        <is>
          <t>Medido</t>
        </is>
      </c>
    </row>
    <row r="74">
      <c r="A74" s="12" t="n">
        <v>70</v>
      </c>
      <c r="B74" s="13" t="n">
        <v>45950</v>
      </c>
      <c r="C74" s="6" t="inlineStr">
        <is>
          <t>Secano</t>
        </is>
      </c>
      <c r="D74" s="6" t="inlineStr">
        <is>
          <t>M4</t>
        </is>
      </c>
      <c r="E74" s="6" t="inlineStr">
        <is>
          <t>R3</t>
        </is>
      </c>
      <c r="F74" s="12" t="n">
        <v>261385</v>
      </c>
      <c r="G74" s="14" t="n">
        <v>1.75068425364027</v>
      </c>
      <c r="H74" s="14" t="n">
        <v>36.38120174799709</v>
      </c>
      <c r="I74" s="14" t="n">
        <v>52.29579201174128</v>
      </c>
      <c r="J74" s="6" t="inlineStr">
        <is>
          <t>measured</t>
        </is>
      </c>
      <c r="K74" s="6" t="inlineStr">
        <is>
          <t>Medido</t>
        </is>
      </c>
    </row>
    <row r="75">
      <c r="A75" s="12" t="n">
        <v>71</v>
      </c>
      <c r="B75" s="13" t="n">
        <v>45950</v>
      </c>
      <c r="C75" s="6" t="inlineStr">
        <is>
          <t>Secano</t>
        </is>
      </c>
      <c r="D75" s="6" t="inlineStr">
        <is>
          <t>M0</t>
        </is>
      </c>
      <c r="E75" s="6" t="inlineStr">
        <is>
          <t>R3</t>
        </is>
      </c>
      <c r="F75" s="12" t="n">
        <v>261386</v>
      </c>
      <c r="G75" s="14" t="n">
        <v>1.087544198137653</v>
      </c>
      <c r="H75" s="14" t="n">
        <v>34.16764981915462</v>
      </c>
      <c r="I75" s="14" t="n">
        <v>62.55237946893578</v>
      </c>
      <c r="J75" s="6" t="inlineStr">
        <is>
          <t>measured</t>
        </is>
      </c>
      <c r="K75" s="6" t="inlineStr">
        <is>
          <t>Medido</t>
        </is>
      </c>
    </row>
    <row r="76">
      <c r="A76" s="12" t="n">
        <v>72</v>
      </c>
      <c r="B76" s="13" t="n">
        <v>45950</v>
      </c>
      <c r="C76" s="6" t="inlineStr">
        <is>
          <t>Secano</t>
        </is>
      </c>
      <c r="D76" s="6" t="inlineStr">
        <is>
          <t>M1</t>
        </is>
      </c>
      <c r="E76" s="6" t="inlineStr">
        <is>
          <t>R3</t>
        </is>
      </c>
      <c r="F76" s="12" t="n">
        <v>261387</v>
      </c>
      <c r="G76" s="14" t="n">
        <v>1.489537034622265</v>
      </c>
      <c r="H76" s="14" t="n">
        <v>38.66628732702112</v>
      </c>
      <c r="I76" s="14" t="n">
        <v>54.71258622497117</v>
      </c>
      <c r="J76" s="6" t="inlineStr">
        <is>
          <t>measured</t>
        </is>
      </c>
      <c r="K76" s="6" t="inlineStr">
        <is>
          <t>Medido</t>
        </is>
      </c>
    </row>
    <row r="77">
      <c r="A77" s="12" t="n">
        <v>73</v>
      </c>
      <c r="B77" s="13" t="n">
        <v>45950</v>
      </c>
      <c r="C77" s="6" t="inlineStr">
        <is>
          <t>Secano</t>
        </is>
      </c>
      <c r="D77" s="6" t="inlineStr">
        <is>
          <t>M5</t>
        </is>
      </c>
      <c r="E77" s="6" t="inlineStr">
        <is>
          <t>R3</t>
        </is>
      </c>
      <c r="F77" s="12" t="n">
        <v>261388</v>
      </c>
      <c r="G77" s="14" t="n">
        <v>1.905238744838424</v>
      </c>
      <c r="H77" s="14" t="n">
        <v>34.04014365125765</v>
      </c>
      <c r="I77" s="14" t="n">
        <v>62.07360622324101</v>
      </c>
      <c r="J77" s="6" t="inlineStr">
        <is>
          <t>measured</t>
        </is>
      </c>
      <c r="K77" s="6" t="inlineStr">
        <is>
          <t>Medido</t>
        </is>
      </c>
    </row>
    <row r="78">
      <c r="A78" s="12" t="n">
        <v>74</v>
      </c>
      <c r="B78" s="13" t="n">
        <v>45950</v>
      </c>
      <c r="C78" s="6" t="inlineStr">
        <is>
          <t>Secano</t>
        </is>
      </c>
      <c r="D78" s="6" t="inlineStr">
        <is>
          <t>M2</t>
        </is>
      </c>
      <c r="E78" s="6" t="inlineStr">
        <is>
          <t>R3</t>
        </is>
      </c>
      <c r="F78" s="12" t="n">
        <v>261389</v>
      </c>
      <c r="G78" s="14" t="n">
        <v>1.509468545731147</v>
      </c>
      <c r="H78" s="14" t="n">
        <v>35.91369992716679</v>
      </c>
      <c r="I78" s="14" t="n">
        <v>50.96731837718838</v>
      </c>
      <c r="J78" s="6" t="inlineStr">
        <is>
          <t>measured</t>
        </is>
      </c>
      <c r="K78" s="6" t="inlineStr">
        <is>
          <t>Medido</t>
        </is>
      </c>
    </row>
    <row r="79">
      <c r="A79" s="12" t="n">
        <v>75</v>
      </c>
      <c r="B79" s="13" t="n">
        <v>45950</v>
      </c>
      <c r="C79" s="6" t="inlineStr">
        <is>
          <t>Secano</t>
        </is>
      </c>
      <c r="D79" s="6" t="inlineStr">
        <is>
          <t>M1</t>
        </is>
      </c>
      <c r="E79" s="6" t="inlineStr">
        <is>
          <t>R4</t>
        </is>
      </c>
      <c r="F79" s="12" t="n">
        <v>261390</v>
      </c>
      <c r="G79" s="14" t="n">
        <v>1.632440730895899</v>
      </c>
      <c r="H79" s="14" t="n">
        <v>39.20235979606701</v>
      </c>
      <c r="I79" s="14" t="n">
        <v>55.62191110179265</v>
      </c>
      <c r="J79" s="6" t="inlineStr">
        <is>
          <t>measured</t>
        </is>
      </c>
      <c r="K79" s="6" t="inlineStr">
        <is>
          <t>Medido</t>
        </is>
      </c>
    </row>
    <row r="80">
      <c r="A80" s="12" t="n">
        <v>76</v>
      </c>
      <c r="B80" s="13" t="n">
        <v>45950</v>
      </c>
      <c r="C80" s="6" t="inlineStr">
        <is>
          <t>Secano</t>
        </is>
      </c>
      <c r="D80" s="6" t="inlineStr">
        <is>
          <t>M0</t>
        </is>
      </c>
      <c r="E80" s="6" t="inlineStr">
        <is>
          <t>R4</t>
        </is>
      </c>
      <c r="F80" s="12" t="n">
        <v>261391</v>
      </c>
      <c r="G80" s="14" t="n">
        <v>1.032614888744003</v>
      </c>
      <c r="H80" s="14" t="n">
        <v>32.77333576110706</v>
      </c>
      <c r="I80" s="14" t="n">
        <v>47.88550581821993</v>
      </c>
      <c r="J80" s="6" t="inlineStr">
        <is>
          <t>measured</t>
        </is>
      </c>
      <c r="K80" s="6" t="inlineStr">
        <is>
          <t>Medido</t>
        </is>
      </c>
    </row>
    <row r="81">
      <c r="A81" s="12" t="n">
        <v>77</v>
      </c>
      <c r="B81" s="13" t="n">
        <v>45950</v>
      </c>
      <c r="C81" s="6" t="inlineStr">
        <is>
          <t>Secano</t>
        </is>
      </c>
      <c r="D81" s="6" t="inlineStr">
        <is>
          <t>M5</t>
        </is>
      </c>
      <c r="E81" s="6" t="inlineStr">
        <is>
          <t>R4</t>
        </is>
      </c>
      <c r="F81" s="12" t="n">
        <v>261392</v>
      </c>
      <c r="G81" s="14" t="n">
        <v>1.957785031011251</v>
      </c>
      <c r="H81" s="14" t="n">
        <v>38.28483066278223</v>
      </c>
      <c r="I81" s="14" t="n">
        <v>54.10552888143411</v>
      </c>
      <c r="J81" s="6" t="inlineStr">
        <is>
          <t>measured</t>
        </is>
      </c>
      <c r="K81" s="6" t="inlineStr">
        <is>
          <t>Medido</t>
        </is>
      </c>
    </row>
    <row r="82">
      <c r="A82" s="12" t="n">
        <v>78</v>
      </c>
      <c r="B82" s="13" t="n">
        <v>45950</v>
      </c>
      <c r="C82" s="6" t="inlineStr">
        <is>
          <t>Secano</t>
        </is>
      </c>
      <c r="D82" s="6" t="inlineStr">
        <is>
          <t>M4</t>
        </is>
      </c>
      <c r="E82" s="6" t="inlineStr">
        <is>
          <t>R4</t>
        </is>
      </c>
      <c r="F82" s="12" t="n">
        <v>261393</v>
      </c>
      <c r="G82" s="14" t="n">
        <v>1.792949910560543</v>
      </c>
      <c r="H82" s="14" t="n">
        <v>37.90622906045157</v>
      </c>
      <c r="I82" s="14" t="n">
        <v>53.4926313030716</v>
      </c>
      <c r="J82" s="6" t="inlineStr">
        <is>
          <t>measured</t>
        </is>
      </c>
      <c r="K82" s="6" t="inlineStr">
        <is>
          <t>Medido</t>
        </is>
      </c>
    </row>
    <row r="83">
      <c r="A83" s="12" t="n">
        <v>79</v>
      </c>
      <c r="B83" s="13" t="n">
        <v>45950</v>
      </c>
      <c r="C83" s="6" t="inlineStr">
        <is>
          <t>Secano</t>
        </is>
      </c>
      <c r="D83" s="6" t="inlineStr">
        <is>
          <t>M3</t>
        </is>
      </c>
      <c r="E83" s="6" t="inlineStr">
        <is>
          <t>R4</t>
        </is>
      </c>
      <c r="F83" s="12" t="n">
        <v>261394</v>
      </c>
      <c r="G83" s="14" t="n">
        <v>1.337473882006787</v>
      </c>
      <c r="H83" s="14" t="n">
        <v>37.83892206846323</v>
      </c>
      <c r="I83" s="14" t="n">
        <v>53.25141419436</v>
      </c>
      <c r="J83" s="6" t="inlineStr">
        <is>
          <t>measured</t>
        </is>
      </c>
      <c r="K83" s="6" t="inlineStr">
        <is>
          <t>Medido</t>
        </is>
      </c>
    </row>
    <row r="84">
      <c r="A84" s="12" t="n">
        <v>80</v>
      </c>
      <c r="B84" s="13" t="n">
        <v>45950</v>
      </c>
      <c r="C84" s="6" t="inlineStr">
        <is>
          <t>Secano</t>
        </is>
      </c>
      <c r="D84" s="6" t="inlineStr">
        <is>
          <t>M2</t>
        </is>
      </c>
      <c r="E84" s="6" t="inlineStr">
        <is>
          <t>R4</t>
        </is>
      </c>
      <c r="F84" s="12" t="n">
        <v>261395</v>
      </c>
      <c r="G84" s="14" t="n">
        <v>1.519526743233529</v>
      </c>
      <c r="H84" s="14" t="n">
        <v>37.62415149308084</v>
      </c>
      <c r="I84" s="14" t="n">
        <v>53.58476674703847</v>
      </c>
      <c r="J84" s="6" t="inlineStr">
        <is>
          <t>measured</t>
        </is>
      </c>
      <c r="K84" s="6" t="inlineStr">
        <is>
          <t>Medido</t>
        </is>
      </c>
    </row>
    <row r="85">
      <c r="A85" s="12" t="n">
        <v>81</v>
      </c>
      <c r="B85" s="13" t="n">
        <v>45950</v>
      </c>
      <c r="C85" s="6" t="inlineStr">
        <is>
          <t>Riego</t>
        </is>
      </c>
      <c r="D85" s="6" t="inlineStr">
        <is>
          <t>M0</t>
        </is>
      </c>
      <c r="E85" s="6" t="inlineStr">
        <is>
          <t>R1</t>
        </is>
      </c>
      <c r="F85" s="12" t="n">
        <v>261396</v>
      </c>
      <c r="G85" s="14" t="n">
        <v>0.9716180382834312</v>
      </c>
      <c r="H85" s="14" t="n">
        <v>33.77000531757088</v>
      </c>
      <c r="I85" s="14" t="n">
        <v>62.19562340949675</v>
      </c>
      <c r="J85" s="6" t="inlineStr">
        <is>
          <t>measured</t>
        </is>
      </c>
      <c r="K85" s="6" t="inlineStr">
        <is>
          <t>Medido</t>
        </is>
      </c>
    </row>
    <row r="86">
      <c r="A86" s="12" t="n">
        <v>82</v>
      </c>
      <c r="B86" s="13" t="n">
        <v>45950</v>
      </c>
      <c r="C86" s="6" t="inlineStr">
        <is>
          <t>Riego</t>
        </is>
      </c>
      <c r="D86" s="6" t="inlineStr">
        <is>
          <t>M1</t>
        </is>
      </c>
      <c r="E86" s="6" t="inlineStr">
        <is>
          <t>R1</t>
        </is>
      </c>
      <c r="F86" s="12" t="n">
        <v>261397</v>
      </c>
      <c r="G86" s="14" t="n">
        <v>1.58588939097581</v>
      </c>
      <c r="H86" s="14" t="n">
        <v>37.70686203585146</v>
      </c>
      <c r="I86" s="14" t="n">
        <v>66.14211672407561</v>
      </c>
      <c r="J86" s="6" t="inlineStr">
        <is>
          <t>measured</t>
        </is>
      </c>
      <c r="K86" s="6" t="inlineStr">
        <is>
          <t>Medido</t>
        </is>
      </c>
    </row>
    <row r="87">
      <c r="A87" s="12" t="n">
        <v>83</v>
      </c>
      <c r="B87" s="13" t="n">
        <v>45950</v>
      </c>
      <c r="C87" s="6" t="inlineStr">
        <is>
          <t>Riego</t>
        </is>
      </c>
      <c r="D87" s="6" t="inlineStr">
        <is>
          <t>M2</t>
        </is>
      </c>
      <c r="E87" s="6" t="inlineStr">
        <is>
          <t>R1</t>
        </is>
      </c>
      <c r="F87" s="12" t="n">
        <v>261398</v>
      </c>
      <c r="G87" s="14" t="n">
        <v>1.51784609726332</v>
      </c>
      <c r="H87" s="14" t="n">
        <v>37.96014020393299</v>
      </c>
      <c r="I87" s="14" t="n">
        <v>53.75788237760771</v>
      </c>
      <c r="J87" s="6" t="inlineStr">
        <is>
          <t>measured</t>
        </is>
      </c>
      <c r="K87" s="6" t="inlineStr">
        <is>
          <t>Medido</t>
        </is>
      </c>
    </row>
    <row r="88">
      <c r="A88" s="12" t="n">
        <v>84</v>
      </c>
      <c r="B88" s="13" t="n">
        <v>45950</v>
      </c>
      <c r="C88" s="6" t="inlineStr">
        <is>
          <t>Riego</t>
        </is>
      </c>
      <c r="D88" s="6" t="inlineStr">
        <is>
          <t>M3</t>
        </is>
      </c>
      <c r="E88" s="6" t="inlineStr">
        <is>
          <t>R1</t>
        </is>
      </c>
      <c r="F88" s="12" t="n">
        <v>261399</v>
      </c>
      <c r="G88" s="14" t="n">
        <v>1.536427356771486</v>
      </c>
      <c r="H88" s="14" t="n">
        <v>35.51491077931536</v>
      </c>
      <c r="I88" s="14" t="n">
        <v>44.61994863193206</v>
      </c>
      <c r="J88" s="6" t="inlineStr">
        <is>
          <t>measured</t>
        </is>
      </c>
      <c r="K88" s="6" t="inlineStr">
        <is>
          <t>Medido</t>
        </is>
      </c>
    </row>
    <row r="89">
      <c r="A89" s="12" t="n">
        <v>85</v>
      </c>
      <c r="B89" s="13" t="n">
        <v>45950</v>
      </c>
      <c r="C89" s="6" t="inlineStr">
        <is>
          <t>Riego</t>
        </is>
      </c>
      <c r="D89" s="6" t="inlineStr">
        <is>
          <t>M4</t>
        </is>
      </c>
      <c r="E89" s="6" t="inlineStr">
        <is>
          <t>R1</t>
        </is>
      </c>
      <c r="F89" s="12" t="n">
        <v>261400</v>
      </c>
      <c r="G89" s="14" t="n">
        <v>1.64503209455506</v>
      </c>
      <c r="H89" s="14" t="n">
        <v>39.67422432629279</v>
      </c>
      <c r="I89" s="14" t="n">
        <v>48.42067407485062</v>
      </c>
      <c r="J89" s="6" t="inlineStr">
        <is>
          <t>measured</t>
        </is>
      </c>
      <c r="K89" s="6" t="inlineStr">
        <is>
          <t>Medido</t>
        </is>
      </c>
    </row>
    <row r="90">
      <c r="A90" s="12" t="n">
        <v>86</v>
      </c>
      <c r="B90" s="13" t="n">
        <v>45950</v>
      </c>
      <c r="C90" s="6" t="inlineStr">
        <is>
          <t>Riego</t>
        </is>
      </c>
      <c r="D90" s="6" t="inlineStr">
        <is>
          <t>M5</t>
        </is>
      </c>
      <c r="E90" s="6" t="inlineStr">
        <is>
          <t>R1</t>
        </is>
      </c>
      <c r="F90" s="12" t="n">
        <v>261401</v>
      </c>
      <c r="G90" s="14" t="n">
        <v>2.048823658826087</v>
      </c>
      <c r="H90" s="14" t="n">
        <v>37.53048252002913</v>
      </c>
      <c r="I90" s="14" t="n">
        <v>46.86350770521018</v>
      </c>
      <c r="J90" s="6" t="inlineStr">
        <is>
          <t>measured</t>
        </is>
      </c>
      <c r="K90" s="6" t="inlineStr">
        <is>
          <t>Medido</t>
        </is>
      </c>
    </row>
    <row r="91">
      <c r="A91" s="12" t="n">
        <v>87</v>
      </c>
      <c r="B91" s="13" t="n">
        <v>45950</v>
      </c>
      <c r="C91" s="6" t="inlineStr">
        <is>
          <t>Riego</t>
        </is>
      </c>
      <c r="D91" s="6" t="inlineStr">
        <is>
          <t>M3</t>
        </is>
      </c>
      <c r="E91" s="6" t="inlineStr">
        <is>
          <t>R2</t>
        </is>
      </c>
      <c r="F91" s="12" t="n">
        <v>261402</v>
      </c>
      <c r="G91" s="14" t="n">
        <v>1.121844478994266</v>
      </c>
      <c r="H91" s="14" t="n">
        <v>36.12089584850692</v>
      </c>
      <c r="I91" s="14" t="n">
        <v>45.38284516196667</v>
      </c>
      <c r="J91" s="6" t="inlineStr">
        <is>
          <t>measured</t>
        </is>
      </c>
      <c r="K91" s="6" t="inlineStr">
        <is>
          <t>Medido</t>
        </is>
      </c>
    </row>
    <row r="92">
      <c r="A92" s="12" t="n">
        <v>88</v>
      </c>
      <c r="B92" s="13" t="n">
        <v>45950</v>
      </c>
      <c r="C92" s="6" t="inlineStr">
        <is>
          <t>Riego</t>
        </is>
      </c>
      <c r="D92" s="6" t="inlineStr">
        <is>
          <t>M2</t>
        </is>
      </c>
      <c r="E92" s="6" t="inlineStr">
        <is>
          <t>R2</t>
        </is>
      </c>
      <c r="F92" s="12" t="n">
        <v>261403</v>
      </c>
      <c r="G92" s="14" t="n">
        <v>1.51784609726332</v>
      </c>
      <c r="H92" s="14" t="n">
        <v>38.4888273852877</v>
      </c>
      <c r="I92" s="14" t="n">
        <v>47.93497117098229</v>
      </c>
      <c r="J92" s="6" t="inlineStr">
        <is>
          <t>measured</t>
        </is>
      </c>
      <c r="K92" s="6" t="inlineStr">
        <is>
          <t>Medido</t>
        </is>
      </c>
    </row>
    <row r="93">
      <c r="A93" s="12" t="n">
        <v>89</v>
      </c>
      <c r="B93" s="13" t="n">
        <v>45950</v>
      </c>
      <c r="C93" s="6" t="inlineStr">
        <is>
          <t>Riego</t>
        </is>
      </c>
      <c r="D93" s="6" t="inlineStr">
        <is>
          <t>M4</t>
        </is>
      </c>
      <c r="E93" s="6" t="inlineStr">
        <is>
          <t>R2</t>
        </is>
      </c>
      <c r="F93" s="12" t="n">
        <v>261404</v>
      </c>
      <c r="G93" s="14" t="n">
        <v>1.812435474865005</v>
      </c>
      <c r="H93" s="14" t="n">
        <v>38.00061179898033</v>
      </c>
      <c r="I93" s="14" t="n">
        <v>53.74632665897893</v>
      </c>
      <c r="J93" s="6" t="inlineStr">
        <is>
          <t>measured</t>
        </is>
      </c>
      <c r="K93" s="6" t="inlineStr">
        <is>
          <t>Medido</t>
        </is>
      </c>
    </row>
    <row r="94">
      <c r="A94" s="12" t="n">
        <v>90</v>
      </c>
      <c r="B94" s="13" t="n">
        <v>45950</v>
      </c>
      <c r="C94" s="6" t="inlineStr">
        <is>
          <t>Riego</t>
        </is>
      </c>
      <c r="D94" s="6" t="inlineStr">
        <is>
          <t>M0</t>
        </is>
      </c>
      <c r="E94" s="6" t="inlineStr">
        <is>
          <t>R2</t>
        </is>
      </c>
      <c r="F94" s="12" t="n">
        <v>261405</v>
      </c>
      <c r="G94" s="14" t="n">
        <v>1.032166108296972</v>
      </c>
      <c r="H94" s="14" t="n">
        <v>34.25619360701776</v>
      </c>
      <c r="I94" s="14" t="n">
        <v>62.65758293020191</v>
      </c>
      <c r="J94" s="6" t="inlineStr">
        <is>
          <t>measured</t>
        </is>
      </c>
      <c r="K94" s="6" t="inlineStr">
        <is>
          <t>Medido</t>
        </is>
      </c>
    </row>
    <row r="95">
      <c r="A95" s="12" t="n">
        <v>91</v>
      </c>
      <c r="B95" s="13" t="n">
        <v>45950</v>
      </c>
      <c r="C95" s="6" t="inlineStr">
        <is>
          <t>Riego</t>
        </is>
      </c>
      <c r="D95" s="6" t="inlineStr">
        <is>
          <t>M1</t>
        </is>
      </c>
      <c r="E95" s="6" t="inlineStr">
        <is>
          <t>R2</t>
        </is>
      </c>
      <c r="F95" s="12" t="n">
        <v>261406</v>
      </c>
      <c r="G95" s="14" t="n">
        <v>1.632440730895899</v>
      </c>
      <c r="H95" s="14" t="n">
        <v>38.40713037144938</v>
      </c>
      <c r="I95" s="14" t="n">
        <v>47.73564943914457</v>
      </c>
      <c r="J95" s="6" t="inlineStr">
        <is>
          <t>measured</t>
        </is>
      </c>
      <c r="K95" s="6" t="inlineStr">
        <is>
          <t>Medido</t>
        </is>
      </c>
    </row>
    <row r="96">
      <c r="A96" s="12" t="n">
        <v>92</v>
      </c>
      <c r="B96" s="13" t="n">
        <v>45950</v>
      </c>
      <c r="C96" s="6" t="inlineStr">
        <is>
          <t>Riego</t>
        </is>
      </c>
      <c r="D96" s="6" t="inlineStr">
        <is>
          <t>M5</t>
        </is>
      </c>
      <c r="E96" s="6" t="inlineStr">
        <is>
          <t>R2</t>
        </is>
      </c>
      <c r="F96" s="12" t="n">
        <v>261407</v>
      </c>
      <c r="G96" s="14" t="n">
        <v>2.324349452496782</v>
      </c>
      <c r="H96" s="14" t="n">
        <v>37.33036416605973</v>
      </c>
      <c r="I96" s="14" t="n">
        <v>46.31065730160394</v>
      </c>
      <c r="J96" s="6" t="inlineStr">
        <is>
          <t>measured</t>
        </is>
      </c>
      <c r="K96" s="6" t="inlineStr">
        <is>
          <t>Medido</t>
        </is>
      </c>
    </row>
    <row r="97">
      <c r="A97" s="12" t="n">
        <v>93</v>
      </c>
      <c r="B97" s="13" t="n">
        <v>45950</v>
      </c>
      <c r="C97" s="6" t="inlineStr">
        <is>
          <t>Riego</t>
        </is>
      </c>
      <c r="D97" s="6" t="inlineStr">
        <is>
          <t>M3</t>
        </is>
      </c>
      <c r="E97" s="6" t="inlineStr">
        <is>
          <t>R3</t>
        </is>
      </c>
      <c r="F97" s="12" t="n">
        <v>261408</v>
      </c>
      <c r="G97" s="14" t="n">
        <v>1.36750895564806</v>
      </c>
      <c r="H97" s="14" t="n">
        <v>38.02761107064822</v>
      </c>
      <c r="I97" s="14" t="n">
        <v>47.41206520599644</v>
      </c>
      <c r="J97" s="6" t="inlineStr">
        <is>
          <t>measured</t>
        </is>
      </c>
      <c r="K97" s="6" t="inlineStr">
        <is>
          <t>Medido</t>
        </is>
      </c>
    </row>
    <row r="98">
      <c r="A98" s="12" t="n">
        <v>94</v>
      </c>
      <c r="B98" s="13" t="n">
        <v>45950</v>
      </c>
      <c r="C98" s="6" t="inlineStr">
        <is>
          <t>Riego</t>
        </is>
      </c>
      <c r="D98" s="6" t="inlineStr">
        <is>
          <t>M4</t>
        </is>
      </c>
      <c r="E98" s="6" t="inlineStr">
        <is>
          <t>R3</t>
        </is>
      </c>
      <c r="F98" s="12" t="n">
        <v>261409</v>
      </c>
      <c r="G98" s="14" t="n">
        <v>1.820277633448685</v>
      </c>
      <c r="H98" s="14" t="n">
        <v>36.76123270211217</v>
      </c>
      <c r="I98" s="14" t="n">
        <v>46.46361358632981</v>
      </c>
      <c r="J98" s="6" t="inlineStr">
        <is>
          <t>measured</t>
        </is>
      </c>
      <c r="K98" s="6" t="inlineStr">
        <is>
          <t>Medido</t>
        </is>
      </c>
    </row>
    <row r="99">
      <c r="A99" s="12" t="n">
        <v>95</v>
      </c>
      <c r="B99" s="13" t="n">
        <v>45950</v>
      </c>
      <c r="C99" s="6" t="inlineStr">
        <is>
          <t>Riego</t>
        </is>
      </c>
      <c r="D99" s="6" t="inlineStr">
        <is>
          <t>M0</t>
        </is>
      </c>
      <c r="E99" s="6" t="inlineStr">
        <is>
          <t>R3</t>
        </is>
      </c>
      <c r="F99" s="12" t="n">
        <v>261410</v>
      </c>
      <c r="G99" s="14" t="n">
        <v>1.114610896567865</v>
      </c>
      <c r="H99" s="14" t="n">
        <v>34.35201201747997</v>
      </c>
      <c r="I99" s="14" t="n">
        <v>43.25517978823776</v>
      </c>
      <c r="J99" s="6" t="inlineStr">
        <is>
          <t>measured</t>
        </is>
      </c>
      <c r="K99" s="6" t="inlineStr">
        <is>
          <t>Medido</t>
        </is>
      </c>
    </row>
    <row r="100">
      <c r="A100" s="12" t="n">
        <v>96</v>
      </c>
      <c r="B100" s="13" t="n">
        <v>45950</v>
      </c>
      <c r="C100" s="6" t="inlineStr">
        <is>
          <t>Riego</t>
        </is>
      </c>
      <c r="D100" s="6" t="inlineStr">
        <is>
          <t>M1</t>
        </is>
      </c>
      <c r="E100" s="6" t="inlineStr">
        <is>
          <t>R3</t>
        </is>
      </c>
      <c r="F100" s="12" t="n">
        <v>261411</v>
      </c>
      <c r="G100" s="14" t="n">
        <v>1.556919939147734</v>
      </c>
      <c r="H100" s="14" t="n">
        <v>38.53041545645426</v>
      </c>
      <c r="I100" s="14" t="n">
        <v>67.6702790940207</v>
      </c>
      <c r="J100" s="6" t="inlineStr">
        <is>
          <t>measured</t>
        </is>
      </c>
      <c r="K100" s="6" t="inlineStr">
        <is>
          <t>Medido</t>
        </is>
      </c>
    </row>
    <row r="101">
      <c r="A101" s="12" t="n">
        <v>97</v>
      </c>
      <c r="B101" s="13" t="n">
        <v>45950</v>
      </c>
      <c r="C101" s="6" t="inlineStr">
        <is>
          <t>Riego</t>
        </is>
      </c>
      <c r="D101" s="6" t="inlineStr">
        <is>
          <t>M5</t>
        </is>
      </c>
      <c r="E101" s="6" t="inlineStr">
        <is>
          <t>R3</t>
        </is>
      </c>
      <c r="F101" s="12" t="n">
        <v>261412</v>
      </c>
      <c r="G101" s="14" t="n">
        <v>1.873928628985071</v>
      </c>
      <c r="H101" s="14" t="n">
        <v>37.51711580480699</v>
      </c>
      <c r="I101" s="14" t="n">
        <v>46.75039417129678</v>
      </c>
      <c r="J101" s="6" t="inlineStr">
        <is>
          <t>measured</t>
        </is>
      </c>
      <c r="K101" s="6" t="inlineStr">
        <is>
          <t>Medido</t>
        </is>
      </c>
    </row>
    <row r="102">
      <c r="A102" s="12" t="n">
        <v>98</v>
      </c>
      <c r="B102" s="13" t="n">
        <v>45950</v>
      </c>
      <c r="C102" s="6" t="inlineStr">
        <is>
          <t>Riego</t>
        </is>
      </c>
      <c r="D102" s="6" t="inlineStr">
        <is>
          <t>M2</t>
        </is>
      </c>
      <c r="E102" s="6" t="inlineStr">
        <is>
          <t>R3</t>
        </is>
      </c>
      <c r="F102" s="12" t="n">
        <v>261413</v>
      </c>
      <c r="G102" s="14" t="n">
        <v>1.255630660180216</v>
      </c>
      <c r="H102" s="14" t="n">
        <v>37.0515750182083</v>
      </c>
      <c r="I102" s="14" t="n">
        <v>46.55561379599538</v>
      </c>
      <c r="J102" s="6" t="inlineStr">
        <is>
          <t>measured</t>
        </is>
      </c>
      <c r="K102" s="6" t="inlineStr">
        <is>
          <t>Medido</t>
        </is>
      </c>
    </row>
    <row r="103">
      <c r="A103" s="12" t="n">
        <v>99</v>
      </c>
      <c r="B103" s="13" t="n">
        <v>45950</v>
      </c>
      <c r="C103" s="6" t="inlineStr">
        <is>
          <t>Riego</t>
        </is>
      </c>
      <c r="D103" s="6" t="inlineStr">
        <is>
          <t>M1</t>
        </is>
      </c>
      <c r="E103" s="6" t="inlineStr">
        <is>
          <t>R4</t>
        </is>
      </c>
      <c r="F103" s="12" t="n">
        <v>261414</v>
      </c>
      <c r="G103" s="14" t="n">
        <v>1.501133791397095</v>
      </c>
      <c r="H103" s="14" t="n">
        <v>39.56281864530226</v>
      </c>
      <c r="I103" s="14" t="n">
        <v>48.80388405493238</v>
      </c>
      <c r="J103" s="6" t="inlineStr">
        <is>
          <t>measured</t>
        </is>
      </c>
      <c r="K103" s="6" t="inlineStr">
        <is>
          <t>Medido</t>
        </is>
      </c>
    </row>
    <row r="104">
      <c r="A104" s="12" t="n">
        <v>100</v>
      </c>
      <c r="B104" s="13" t="n">
        <v>45950</v>
      </c>
      <c r="C104" s="6" t="inlineStr">
        <is>
          <t>Riego</t>
        </is>
      </c>
      <c r="D104" s="6" t="inlineStr">
        <is>
          <t>M0</t>
        </is>
      </c>
      <c r="E104" s="6" t="inlineStr">
        <is>
          <t>R4</t>
        </is>
      </c>
      <c r="F104" s="12" t="n">
        <v>261415</v>
      </c>
      <c r="G104" s="14" t="n">
        <v>1.023506799806075</v>
      </c>
      <c r="H104" s="14" t="n">
        <v>34.74298984042825</v>
      </c>
      <c r="I104" s="14" t="n">
        <v>62.98881822636826</v>
      </c>
      <c r="J104" s="6" t="inlineStr">
        <is>
          <t>measured</t>
        </is>
      </c>
      <c r="K104" s="6" t="inlineStr">
        <is>
          <t>Medido</t>
        </is>
      </c>
    </row>
    <row r="105">
      <c r="A105" s="12" t="n">
        <v>101</v>
      </c>
      <c r="B105" s="13" t="n">
        <v>45950</v>
      </c>
      <c r="C105" s="6" t="inlineStr">
        <is>
          <t>Riego</t>
        </is>
      </c>
      <c r="D105" s="6" t="inlineStr">
        <is>
          <t>M5</t>
        </is>
      </c>
      <c r="E105" s="6" t="inlineStr">
        <is>
          <t>R4</t>
        </is>
      </c>
      <c r="F105" s="12" t="n">
        <v>261416</v>
      </c>
      <c r="G105" s="14" t="n">
        <v>1.90427398231272</v>
      </c>
      <c r="H105" s="14" t="n">
        <v>37.91970138383103</v>
      </c>
      <c r="I105" s="14" t="n">
        <v>47.82997064681832</v>
      </c>
      <c r="J105" s="6" t="inlineStr">
        <is>
          <t>measured</t>
        </is>
      </c>
      <c r="K105" s="6" t="inlineStr">
        <is>
          <t>Medido</t>
        </is>
      </c>
    </row>
    <row r="106">
      <c r="A106" s="12" t="n">
        <v>102</v>
      </c>
      <c r="B106" s="13" t="n">
        <v>45950</v>
      </c>
      <c r="C106" s="6" t="inlineStr">
        <is>
          <t>Riego</t>
        </is>
      </c>
      <c r="D106" s="6" t="inlineStr">
        <is>
          <t>M4</t>
        </is>
      </c>
      <c r="E106" s="6" t="inlineStr">
        <is>
          <t>R4</t>
        </is>
      </c>
      <c r="F106" s="12" t="n">
        <v>261417</v>
      </c>
      <c r="G106" s="14" t="n">
        <v>1.828147182239163</v>
      </c>
      <c r="H106" s="14" t="n">
        <v>39.28532410779316</v>
      </c>
      <c r="I106" s="14" t="n">
        <v>49.24362721459272</v>
      </c>
      <c r="J106" s="6" t="inlineStr">
        <is>
          <t>measured</t>
        </is>
      </c>
      <c r="K106" s="6" t="inlineStr">
        <is>
          <t>Medido</t>
        </is>
      </c>
    </row>
    <row r="107">
      <c r="A107" s="12" t="n">
        <v>103</v>
      </c>
      <c r="B107" s="13" t="n">
        <v>45950</v>
      </c>
      <c r="C107" s="6" t="inlineStr">
        <is>
          <t>Riego</t>
        </is>
      </c>
      <c r="D107" s="6" t="inlineStr">
        <is>
          <t>M3</t>
        </is>
      </c>
      <c r="E107" s="6" t="inlineStr">
        <is>
          <t>R4</t>
        </is>
      </c>
      <c r="F107" s="12" t="n">
        <v>261418</v>
      </c>
      <c r="G107" s="14" t="n">
        <v>1.299451995252186</v>
      </c>
      <c r="H107" s="14" t="n">
        <v>36.9061835396941</v>
      </c>
      <c r="I107" s="14" t="n">
        <v>46.02640109026103</v>
      </c>
      <c r="J107" s="6" t="inlineStr">
        <is>
          <t>measured</t>
        </is>
      </c>
      <c r="K107" s="6" t="inlineStr">
        <is>
          <t>Medido</t>
        </is>
      </c>
    </row>
    <row r="108">
      <c r="A108" s="12" t="n">
        <v>104</v>
      </c>
      <c r="B108" s="13" t="n">
        <v>45950</v>
      </c>
      <c r="C108" s="6" t="inlineStr">
        <is>
          <t>Riego</t>
        </is>
      </c>
      <c r="D108" s="6" t="inlineStr">
        <is>
          <t>M2</t>
        </is>
      </c>
      <c r="E108" s="6" t="inlineStr">
        <is>
          <t>R4</t>
        </is>
      </c>
      <c r="F108" s="12" t="n">
        <v>261419</v>
      </c>
      <c r="G108" s="14" t="n">
        <v>1.385858682314392</v>
      </c>
      <c r="H108" s="14" t="n">
        <v>36.13387654770576</v>
      </c>
      <c r="I108" s="14" t="n">
        <v>45.39283467868749</v>
      </c>
      <c r="J108" s="6" t="inlineStr">
        <is>
          <t>measured</t>
        </is>
      </c>
      <c r="K108" s="6" t="inlineStr">
        <is>
          <t>Medido</t>
        </is>
      </c>
    </row>
    <row r="109">
      <c r="A109" s="12" t="n">
        <v>105</v>
      </c>
      <c r="B109" s="13" t="n">
        <v>45973</v>
      </c>
      <c r="C109" s="6" t="inlineStr">
        <is>
          <t>Secano</t>
        </is>
      </c>
      <c r="D109" s="6" t="inlineStr">
        <is>
          <t>M0</t>
        </is>
      </c>
      <c r="E109" s="6" t="inlineStr">
        <is>
          <t>R1</t>
        </is>
      </c>
      <c r="F109" s="12" t="n">
        <v>261420</v>
      </c>
      <c r="G109" s="14" t="n">
        <v>0.8470333985321898</v>
      </c>
      <c r="H109" s="14" t="n">
        <v>33.83137108521486</v>
      </c>
      <c r="I109" s="14" t="n">
        <v>43.59966872837824</v>
      </c>
      <c r="J109" s="6" t="inlineStr">
        <is>
          <t>measured</t>
        </is>
      </c>
      <c r="K109" s="6" t="inlineStr">
        <is>
          <t>Medido</t>
        </is>
      </c>
    </row>
    <row r="110">
      <c r="A110" s="12" t="n">
        <v>106</v>
      </c>
      <c r="B110" s="13" t="n">
        <v>45973</v>
      </c>
      <c r="C110" s="6" t="inlineStr">
        <is>
          <t>Secano</t>
        </is>
      </c>
      <c r="D110" s="6" t="inlineStr">
        <is>
          <t>M1</t>
        </is>
      </c>
      <c r="E110" s="6" t="inlineStr">
        <is>
          <t>R1</t>
        </is>
      </c>
      <c r="F110" s="12" t="n">
        <v>261421</v>
      </c>
      <c r="G110" s="14" t="n">
        <v>1.165268656067673</v>
      </c>
      <c r="H110" s="14" t="n">
        <v>37.74484522942463</v>
      </c>
      <c r="I110" s="14" t="n">
        <v>47.17328860467554</v>
      </c>
      <c r="J110" s="6" t="inlineStr">
        <is>
          <t>measured</t>
        </is>
      </c>
      <c r="K110" s="6" t="inlineStr">
        <is>
          <t>Medido</t>
        </is>
      </c>
    </row>
    <row r="111">
      <c r="A111" s="12" t="n">
        <v>107</v>
      </c>
      <c r="B111" s="13" t="n">
        <v>45973</v>
      </c>
      <c r="C111" s="6" t="inlineStr">
        <is>
          <t>Secano</t>
        </is>
      </c>
      <c r="D111" s="6" t="inlineStr">
        <is>
          <t>M2</t>
        </is>
      </c>
      <c r="E111" s="6" t="inlineStr">
        <is>
          <t>R1</t>
        </is>
      </c>
      <c r="F111" s="12" t="n">
        <v>261422</v>
      </c>
      <c r="G111" s="14" t="n">
        <v>1.172923362923584</v>
      </c>
      <c r="H111" s="14" t="n">
        <v>38.83064275309541</v>
      </c>
      <c r="I111" s="14" t="n">
        <v>48.75049795576056</v>
      </c>
      <c r="J111" s="6" t="inlineStr">
        <is>
          <t>measured</t>
        </is>
      </c>
      <c r="K111" s="6" t="inlineStr">
        <is>
          <t>Medido</t>
        </is>
      </c>
    </row>
    <row r="112">
      <c r="A112" s="12" t="n">
        <v>108</v>
      </c>
      <c r="B112" s="13" t="n">
        <v>45973</v>
      </c>
      <c r="C112" s="6" t="inlineStr">
        <is>
          <t>Secano</t>
        </is>
      </c>
      <c r="D112" s="6" t="inlineStr">
        <is>
          <t>M3</t>
        </is>
      </c>
      <c r="E112" s="6" t="inlineStr">
        <is>
          <t>R1</t>
        </is>
      </c>
      <c r="F112" s="12" t="n">
        <v>261423</v>
      </c>
      <c r="G112" s="14" t="n">
        <v>0.9607939706772322</v>
      </c>
      <c r="H112" s="14" t="n">
        <v>36.39700675993844</v>
      </c>
      <c r="I112" s="14" t="n">
        <v>66.26152919777242</v>
      </c>
      <c r="J112" s="6" t="inlineStr">
        <is>
          <t>measured</t>
        </is>
      </c>
      <c r="K112" s="6" t="inlineStr">
        <is>
          <t>Medido</t>
        </is>
      </c>
    </row>
    <row r="113">
      <c r="A113" s="12" t="n">
        <v>109</v>
      </c>
      <c r="B113" s="13" t="n">
        <v>45973</v>
      </c>
      <c r="C113" s="6" t="inlineStr">
        <is>
          <t>Secano</t>
        </is>
      </c>
      <c r="D113" s="6" t="inlineStr">
        <is>
          <t>M4</t>
        </is>
      </c>
      <c r="E113" s="6" t="inlineStr">
        <is>
          <t>R1</t>
        </is>
      </c>
      <c r="F113" s="12" t="n">
        <v>261424</v>
      </c>
      <c r="G113" s="14" t="n">
        <v>1.273807058194159</v>
      </c>
      <c r="H113" s="14" t="n">
        <v>36.34206300072833</v>
      </c>
      <c r="I113" s="14" t="n">
        <v>46.12773246671559</v>
      </c>
      <c r="J113" s="6" t="inlineStr">
        <is>
          <t>measured</t>
        </is>
      </c>
      <c r="K113" s="6" t="inlineStr">
        <is>
          <t>Medido</t>
        </is>
      </c>
    </row>
    <row r="114">
      <c r="A114" s="12" t="n">
        <v>110</v>
      </c>
      <c r="B114" s="13" t="n">
        <v>45973</v>
      </c>
      <c r="C114" s="6" t="inlineStr">
        <is>
          <t>Secano</t>
        </is>
      </c>
      <c r="D114" s="6" t="inlineStr">
        <is>
          <t>M5</t>
        </is>
      </c>
      <c r="E114" s="6" t="inlineStr">
        <is>
          <t>R1</t>
        </is>
      </c>
      <c r="F114" s="12" t="n">
        <v>261425</v>
      </c>
      <c r="G114" s="14" t="n">
        <v>1.31839505826103</v>
      </c>
      <c r="H114" s="14" t="n">
        <v>34.67926597027112</v>
      </c>
      <c r="I114" s="14" t="n">
        <v>63.93316791493987</v>
      </c>
      <c r="J114" s="6" t="inlineStr">
        <is>
          <t>measured</t>
        </is>
      </c>
      <c r="K114" s="6" t="inlineStr">
        <is>
          <t>Medido</t>
        </is>
      </c>
    </row>
    <row r="115">
      <c r="A115" s="12" t="n">
        <v>111</v>
      </c>
      <c r="B115" s="13" t="n">
        <v>45973</v>
      </c>
      <c r="C115" s="6" t="inlineStr">
        <is>
          <t>Secano</t>
        </is>
      </c>
      <c r="D115" s="6" t="inlineStr">
        <is>
          <t>M3</t>
        </is>
      </c>
      <c r="E115" s="6" t="inlineStr">
        <is>
          <t>R2</t>
        </is>
      </c>
      <c r="F115" s="12" t="n">
        <v>261426</v>
      </c>
      <c r="G115" s="14" t="n">
        <v>1.117015243158299</v>
      </c>
      <c r="H115" s="14" t="n">
        <v>37.07805717407138</v>
      </c>
      <c r="I115" s="14" t="n">
        <v>47.15257783834785</v>
      </c>
      <c r="J115" s="6" t="inlineStr">
        <is>
          <t>measured</t>
        </is>
      </c>
      <c r="K115" s="6" t="inlineStr">
        <is>
          <t>Medido</t>
        </is>
      </c>
    </row>
    <row r="116">
      <c r="A116" s="12" t="n">
        <v>112</v>
      </c>
      <c r="B116" s="13" t="n">
        <v>45973</v>
      </c>
      <c r="C116" s="6" t="inlineStr">
        <is>
          <t>Secano</t>
        </is>
      </c>
      <c r="D116" s="6" t="inlineStr">
        <is>
          <t>M2</t>
        </is>
      </c>
      <c r="E116" s="6" t="inlineStr">
        <is>
          <t>R2</t>
        </is>
      </c>
      <c r="F116" s="12" t="n">
        <v>261427</v>
      </c>
      <c r="G116" s="14" t="n">
        <v>1.235017389705268</v>
      </c>
      <c r="H116" s="14" t="n">
        <v>35.73316824471959</v>
      </c>
      <c r="I116" s="14" t="n">
        <v>45.8647069923472</v>
      </c>
      <c r="J116" s="6" t="inlineStr">
        <is>
          <t>measured</t>
        </is>
      </c>
      <c r="K116" s="6" t="inlineStr">
        <is>
          <t>Medido</t>
        </is>
      </c>
    </row>
    <row r="117">
      <c r="A117" s="12" t="n">
        <v>113</v>
      </c>
      <c r="B117" s="13" t="n">
        <v>45973</v>
      </c>
      <c r="C117" s="6" t="inlineStr">
        <is>
          <t>Secano</t>
        </is>
      </c>
      <c r="D117" s="6" t="inlineStr">
        <is>
          <t>M4</t>
        </is>
      </c>
      <c r="E117" s="6" t="inlineStr">
        <is>
          <t>R2</t>
        </is>
      </c>
      <c r="F117" s="12" t="n">
        <v>261428</v>
      </c>
      <c r="G117" s="14" t="n">
        <v>1.42963336844041</v>
      </c>
      <c r="H117" s="14" t="n">
        <v>36.39425528040787</v>
      </c>
      <c r="I117" s="14" t="n">
        <v>46.83263339972744</v>
      </c>
      <c r="J117" s="6" t="inlineStr">
        <is>
          <t>measured</t>
        </is>
      </c>
      <c r="K117" s="6" t="inlineStr">
        <is>
          <t>Medido</t>
        </is>
      </c>
    </row>
    <row r="118">
      <c r="A118" s="12" t="n">
        <v>114</v>
      </c>
      <c r="B118" s="13" t="n">
        <v>45973</v>
      </c>
      <c r="C118" s="6" t="inlineStr">
        <is>
          <t>Secano</t>
        </is>
      </c>
      <c r="D118" s="6" t="inlineStr">
        <is>
          <t>M0</t>
        </is>
      </c>
      <c r="E118" s="6" t="inlineStr">
        <is>
          <t>R2</t>
        </is>
      </c>
      <c r="F118" s="12" t="n">
        <v>261429</v>
      </c>
      <c r="G118" s="14" t="n">
        <v>1.019646677098484</v>
      </c>
      <c r="H118" s="14" t="n">
        <v>36.16324275771051</v>
      </c>
      <c r="I118" s="14" t="n">
        <v>66.61445371289658</v>
      </c>
      <c r="J118" s="6" t="inlineStr">
        <is>
          <t>measured</t>
        </is>
      </c>
      <c r="K118" s="6" t="inlineStr">
        <is>
          <t>Medido</t>
        </is>
      </c>
    </row>
    <row r="119">
      <c r="A119" s="12" t="n">
        <v>115</v>
      </c>
      <c r="B119" s="13" t="n">
        <v>45973</v>
      </c>
      <c r="C119" s="6" t="inlineStr">
        <is>
          <t>Secano</t>
        </is>
      </c>
      <c r="D119" s="6" t="inlineStr">
        <is>
          <t>M1</t>
        </is>
      </c>
      <c r="E119" s="6" t="inlineStr">
        <is>
          <t>R2</t>
        </is>
      </c>
      <c r="F119" s="12" t="n">
        <v>261430</v>
      </c>
      <c r="G119" s="14" t="n">
        <v>1.000198489409365</v>
      </c>
      <c r="H119" s="14" t="n">
        <v>36.88247152464457</v>
      </c>
      <c r="I119" s="14" t="n">
        <v>65.11591265148525</v>
      </c>
      <c r="J119" s="6" t="inlineStr">
        <is>
          <t>measured</t>
        </is>
      </c>
      <c r="K119" s="6" t="inlineStr">
        <is>
          <t>Medido</t>
        </is>
      </c>
    </row>
    <row r="120">
      <c r="A120" s="12" t="n">
        <v>116</v>
      </c>
      <c r="B120" s="13" t="n">
        <v>45973</v>
      </c>
      <c r="C120" s="6" t="inlineStr">
        <is>
          <t>Secano</t>
        </is>
      </c>
      <c r="D120" s="6" t="inlineStr">
        <is>
          <t>M5</t>
        </is>
      </c>
      <c r="E120" s="6" t="inlineStr">
        <is>
          <t>R2</t>
        </is>
      </c>
      <c r="F120" s="12" t="n">
        <v>261431</v>
      </c>
      <c r="G120" s="14" t="n">
        <v>1.381248140160824</v>
      </c>
      <c r="H120" s="14" t="n">
        <v>37.37032228696285</v>
      </c>
      <c r="I120" s="14" t="n">
        <v>46.90470279903554</v>
      </c>
      <c r="J120" s="6" t="inlineStr">
        <is>
          <t>measured</t>
        </is>
      </c>
      <c r="K120" s="6" t="inlineStr">
        <is>
          <t>Medido</t>
        </is>
      </c>
    </row>
    <row r="121">
      <c r="A121" s="12" t="n">
        <v>117</v>
      </c>
      <c r="B121" s="13" t="n">
        <v>45973</v>
      </c>
      <c r="C121" s="6" t="inlineStr">
        <is>
          <t>Secano</t>
        </is>
      </c>
      <c r="D121" s="6" t="inlineStr">
        <is>
          <t>M3</t>
        </is>
      </c>
      <c r="E121" s="6" t="inlineStr">
        <is>
          <t>R3</t>
        </is>
      </c>
      <c r="F121" s="12" t="n">
        <v>261432</v>
      </c>
      <c r="G121" s="14" t="n">
        <v>1.147647337713359</v>
      </c>
      <c r="H121" s="14" t="n">
        <v>37.57060451565913</v>
      </c>
      <c r="I121" s="14" t="n">
        <v>47.78802914351609</v>
      </c>
      <c r="J121" s="6" t="inlineStr">
        <is>
          <t>measured</t>
        </is>
      </c>
      <c r="K121" s="6" t="inlineStr">
        <is>
          <t>Medido</t>
        </is>
      </c>
    </row>
    <row r="122">
      <c r="A122" s="12" t="n">
        <v>118</v>
      </c>
      <c r="B122" s="13" t="n">
        <v>45973</v>
      </c>
      <c r="C122" s="6" t="inlineStr">
        <is>
          <t>Secano</t>
        </is>
      </c>
      <c r="D122" s="6" t="inlineStr">
        <is>
          <t>M4</t>
        </is>
      </c>
      <c r="E122" s="6" t="inlineStr">
        <is>
          <t>R3</t>
        </is>
      </c>
      <c r="F122" s="12" t="n">
        <v>261433</v>
      </c>
      <c r="G122" s="14" t="n">
        <v>1.163998863199425</v>
      </c>
      <c r="H122" s="14" t="n">
        <v>34.52698652585579</v>
      </c>
      <c r="I122" s="14" t="n">
        <v>43.92751441450886</v>
      </c>
      <c r="J122" s="6" t="inlineStr">
        <is>
          <t>measured</t>
        </is>
      </c>
      <c r="K122" s="6" t="inlineStr">
        <is>
          <t>Medido</t>
        </is>
      </c>
    </row>
    <row r="123">
      <c r="A123" s="12" t="n">
        <v>119</v>
      </c>
      <c r="B123" s="13" t="n">
        <v>45973</v>
      </c>
      <c r="C123" s="6" t="inlineStr">
        <is>
          <t>Secano</t>
        </is>
      </c>
      <c r="D123" s="6" t="inlineStr">
        <is>
          <t>M0</t>
        </is>
      </c>
      <c r="E123" s="6" t="inlineStr">
        <is>
          <t>R3</t>
        </is>
      </c>
      <c r="F123" s="12" t="n">
        <v>261434</v>
      </c>
      <c r="G123" s="14" t="n">
        <v>0.8054011401441062</v>
      </c>
      <c r="H123" s="14" t="n">
        <v>33.26851602330663</v>
      </c>
      <c r="I123" s="14" t="n">
        <v>43.25517978823776</v>
      </c>
      <c r="J123" s="6" t="inlineStr">
        <is>
          <t>measured</t>
        </is>
      </c>
      <c r="K123" s="6" t="inlineStr">
        <is>
          <t>Medido</t>
        </is>
      </c>
    </row>
    <row r="124">
      <c r="A124" s="12" t="n">
        <v>120</v>
      </c>
      <c r="B124" s="13" t="n">
        <v>45973</v>
      </c>
      <c r="C124" s="6" t="inlineStr">
        <is>
          <t>Secano</t>
        </is>
      </c>
      <c r="D124" s="6" t="inlineStr">
        <is>
          <t>M1</t>
        </is>
      </c>
      <c r="E124" s="6" t="inlineStr">
        <is>
          <t>R3</t>
        </is>
      </c>
      <c r="F124" s="12" t="n">
        <v>261435</v>
      </c>
      <c r="G124" s="14" t="n">
        <v>1.045664610395038</v>
      </c>
      <c r="H124" s="14" t="n">
        <v>38.58430626365623</v>
      </c>
      <c r="I124" s="14" t="n">
        <v>48.53747772303176</v>
      </c>
      <c r="J124" s="6" t="inlineStr">
        <is>
          <t>measured</t>
        </is>
      </c>
      <c r="K124" s="6" t="inlineStr">
        <is>
          <t>Medido</t>
        </is>
      </c>
    </row>
    <row r="125">
      <c r="A125" s="12" t="n">
        <v>121</v>
      </c>
      <c r="B125" s="13" t="n">
        <v>45973</v>
      </c>
      <c r="C125" s="6" t="inlineStr">
        <is>
          <t>Secano</t>
        </is>
      </c>
      <c r="D125" s="6" t="inlineStr">
        <is>
          <t>M5</t>
        </is>
      </c>
      <c r="E125" s="6" t="inlineStr">
        <is>
          <t>R3</t>
        </is>
      </c>
      <c r="F125" s="12" t="n">
        <v>261436</v>
      </c>
      <c r="G125" s="14" t="n">
        <v>1.087453078556263</v>
      </c>
      <c r="H125" s="14" t="n">
        <v>35.65601602330663</v>
      </c>
      <c r="I125" s="14" t="n">
        <v>45.25317224027676</v>
      </c>
      <c r="J125" s="6" t="inlineStr">
        <is>
          <t>measured</t>
        </is>
      </c>
      <c r="K125" s="6" t="inlineStr">
        <is>
          <t>Medido</t>
        </is>
      </c>
    </row>
    <row r="126">
      <c r="A126" s="12" t="n">
        <v>122</v>
      </c>
      <c r="B126" s="13" t="n">
        <v>45973</v>
      </c>
      <c r="C126" s="6" t="inlineStr">
        <is>
          <t>Secano</t>
        </is>
      </c>
      <c r="D126" s="6" t="inlineStr">
        <is>
          <t>M2</t>
        </is>
      </c>
      <c r="E126" s="6" t="inlineStr">
        <is>
          <t>R3</t>
        </is>
      </c>
      <c r="F126" s="12" t="n">
        <v>261437</v>
      </c>
      <c r="G126" s="14" t="n">
        <v>1.071365611782604</v>
      </c>
      <c r="H126" s="14" t="n">
        <v>34.55204115076475</v>
      </c>
      <c r="I126" s="14" t="n">
        <v>43.80187545864347</v>
      </c>
      <c r="J126" s="6" t="inlineStr">
        <is>
          <t>measured</t>
        </is>
      </c>
      <c r="K126" s="6" t="inlineStr">
        <is>
          <t>Medido</t>
        </is>
      </c>
    </row>
    <row r="127">
      <c r="A127" s="12" t="n">
        <v>123</v>
      </c>
      <c r="B127" s="13" t="n">
        <v>45973</v>
      </c>
      <c r="C127" s="6" t="inlineStr">
        <is>
          <t>Secano</t>
        </is>
      </c>
      <c r="D127" s="6" t="inlineStr">
        <is>
          <t>M1</t>
        </is>
      </c>
      <c r="E127" s="6" t="inlineStr">
        <is>
          <t>R4</t>
        </is>
      </c>
      <c r="F127" s="12" t="n">
        <v>261438</v>
      </c>
      <c r="G127" s="14" t="n">
        <v>1.365990939030711</v>
      </c>
      <c r="H127" s="14" t="n">
        <v>34.40193190094684</v>
      </c>
      <c r="I127" s="14" t="n">
        <v>44.91570290386834</v>
      </c>
      <c r="J127" s="6" t="inlineStr">
        <is>
          <t>measured</t>
        </is>
      </c>
      <c r="K127" s="6" t="inlineStr">
        <is>
          <t>Medido</t>
        </is>
      </c>
    </row>
    <row r="128">
      <c r="A128" s="12" t="n">
        <v>124</v>
      </c>
      <c r="B128" s="13" t="n">
        <v>45973</v>
      </c>
      <c r="C128" s="6" t="inlineStr">
        <is>
          <t>Secano</t>
        </is>
      </c>
      <c r="D128" s="6" t="inlineStr">
        <is>
          <t>M0</t>
        </is>
      </c>
      <c r="E128" s="6" t="inlineStr">
        <is>
          <t>R4</t>
        </is>
      </c>
      <c r="F128" s="12" t="n">
        <v>261439</v>
      </c>
      <c r="G128" s="14" t="n">
        <v>0.8685367504221208</v>
      </c>
      <c r="H128" s="14" t="n">
        <v>37.98190064680661</v>
      </c>
      <c r="I128" s="14" t="n">
        <v>67.69552443895091</v>
      </c>
      <c r="J128" s="6" t="inlineStr">
        <is>
          <t>measured</t>
        </is>
      </c>
      <c r="K128" s="6" t="inlineStr">
        <is>
          <t>Medido</t>
        </is>
      </c>
    </row>
    <row r="129">
      <c r="A129" s="12" t="n">
        <v>125</v>
      </c>
      <c r="B129" s="13" t="n">
        <v>45973</v>
      </c>
      <c r="C129" s="6" t="inlineStr">
        <is>
          <t>Secano</t>
        </is>
      </c>
      <c r="D129" s="6" t="inlineStr">
        <is>
          <t>M5</t>
        </is>
      </c>
      <c r="E129" s="6" t="inlineStr">
        <is>
          <t>R4</t>
        </is>
      </c>
      <c r="F129" s="12" t="n">
        <v>261440</v>
      </c>
      <c r="G129" s="14" t="n">
        <v>1.107438942106759</v>
      </c>
      <c r="H129" s="14" t="n">
        <v>34.70267479970867</v>
      </c>
      <c r="I129" s="14" t="n">
        <v>44.92559387776497</v>
      </c>
      <c r="J129" s="6" t="inlineStr">
        <is>
          <t>measured</t>
        </is>
      </c>
      <c r="K129" s="6" t="inlineStr">
        <is>
          <t>Medido</t>
        </is>
      </c>
    </row>
    <row r="130">
      <c r="A130" s="12" t="n">
        <v>126</v>
      </c>
      <c r="B130" s="13" t="n">
        <v>45973</v>
      </c>
      <c r="C130" s="6" t="inlineStr">
        <is>
          <t>Secano</t>
        </is>
      </c>
      <c r="D130" s="6" t="inlineStr">
        <is>
          <t>M4</t>
        </is>
      </c>
      <c r="E130" s="6" t="inlineStr">
        <is>
          <t>R4</t>
        </is>
      </c>
      <c r="F130" s="12" t="n">
        <v>261441</v>
      </c>
      <c r="G130" s="14" t="n">
        <v>1.509468545731147</v>
      </c>
      <c r="H130" s="14" t="n">
        <v>36.19883466860889</v>
      </c>
      <c r="I130" s="14" t="n">
        <v>45.96570290386833</v>
      </c>
      <c r="J130" s="6" t="inlineStr">
        <is>
          <t>measured</t>
        </is>
      </c>
      <c r="K130" s="6" t="inlineStr">
        <is>
          <t>Medido</t>
        </is>
      </c>
    </row>
    <row r="131">
      <c r="A131" s="12" t="n">
        <v>127</v>
      </c>
      <c r="B131" s="13" t="n">
        <v>45973</v>
      </c>
      <c r="C131" s="6" t="inlineStr">
        <is>
          <t>Secano</t>
        </is>
      </c>
      <c r="D131" s="6" t="inlineStr">
        <is>
          <t>M3</t>
        </is>
      </c>
      <c r="E131" s="6" t="inlineStr">
        <is>
          <t>R4</t>
        </is>
      </c>
      <c r="F131" s="12" t="n">
        <v>261442</v>
      </c>
      <c r="G131" s="14" t="n">
        <v>1.167813377467944</v>
      </c>
      <c r="H131" s="14" t="n">
        <v>36.84024217042972</v>
      </c>
      <c r="I131" s="14" t="n">
        <v>46.77094139846944</v>
      </c>
      <c r="J131" s="6" t="inlineStr">
        <is>
          <t>measured</t>
        </is>
      </c>
      <c r="K131" s="6" t="inlineStr">
        <is>
          <t>Medido</t>
        </is>
      </c>
    </row>
    <row r="132">
      <c r="A132" s="12" t="n">
        <v>128</v>
      </c>
      <c r="B132" s="13" t="n">
        <v>45973</v>
      </c>
      <c r="C132" s="6" t="inlineStr">
        <is>
          <t>Secano</t>
        </is>
      </c>
      <c r="D132" s="6" t="inlineStr">
        <is>
          <t>M2</t>
        </is>
      </c>
      <c r="E132" s="6" t="inlineStr">
        <is>
          <t>R4</t>
        </is>
      </c>
      <c r="F132" s="12" t="n">
        <v>261443</v>
      </c>
      <c r="G132" s="14" t="n">
        <v>1.244588983065015</v>
      </c>
      <c r="H132" s="14" t="n">
        <v>36.26388383102694</v>
      </c>
      <c r="I132" s="14" t="n">
        <v>46.30047698920221</v>
      </c>
      <c r="J132" s="6" t="inlineStr">
        <is>
          <t>measured</t>
        </is>
      </c>
      <c r="K132" s="6" t="inlineStr">
        <is>
          <t>Medido</t>
        </is>
      </c>
    </row>
    <row r="133">
      <c r="A133" s="12" t="n">
        <v>129</v>
      </c>
      <c r="B133" s="13" t="n">
        <v>45973</v>
      </c>
      <c r="C133" s="6" t="inlineStr">
        <is>
          <t>Riego</t>
        </is>
      </c>
      <c r="D133" s="6" t="inlineStr">
        <is>
          <t>M0</t>
        </is>
      </c>
      <c r="E133" s="6" t="inlineStr">
        <is>
          <t>R1</t>
        </is>
      </c>
      <c r="F133" s="12" t="n">
        <v>261444</v>
      </c>
      <c r="G133" s="14" t="n">
        <v>0.8862120935520004</v>
      </c>
      <c r="H133" s="14" t="n">
        <v>34.21503277494537</v>
      </c>
      <c r="I133" s="14" t="n">
        <v>43.14095397840445</v>
      </c>
      <c r="J133" s="6" t="inlineStr">
        <is>
          <t>measured</t>
        </is>
      </c>
      <c r="K133" s="6" t="inlineStr">
        <is>
          <t>Medido</t>
        </is>
      </c>
    </row>
    <row r="134">
      <c r="A134" s="12" t="n">
        <v>130</v>
      </c>
      <c r="B134" s="13" t="n">
        <v>45973</v>
      </c>
      <c r="C134" s="6" t="inlineStr">
        <is>
          <t>Riego</t>
        </is>
      </c>
      <c r="D134" s="6" t="inlineStr">
        <is>
          <t>M1</t>
        </is>
      </c>
      <c r="E134" s="6" t="inlineStr">
        <is>
          <t>R1</t>
        </is>
      </c>
      <c r="F134" s="12" t="n">
        <v>261445</v>
      </c>
      <c r="G134" s="14" t="n">
        <v>1.013502516007155</v>
      </c>
      <c r="H134" s="14" t="n">
        <v>37.18413146394756</v>
      </c>
      <c r="I134" s="14" t="n">
        <v>46.6682891288395</v>
      </c>
      <c r="J134" s="6" t="inlineStr">
        <is>
          <t>measured</t>
        </is>
      </c>
      <c r="K134" s="6" t="inlineStr">
        <is>
          <t>Medido</t>
        </is>
      </c>
    </row>
    <row r="135">
      <c r="A135" s="12" t="n">
        <v>131</v>
      </c>
      <c r="B135" s="13" t="n">
        <v>45973</v>
      </c>
      <c r="C135" s="6" t="inlineStr">
        <is>
          <t>Riego</t>
        </is>
      </c>
      <c r="D135" s="6" t="inlineStr">
        <is>
          <t>M2</t>
        </is>
      </c>
      <c r="E135" s="6" t="inlineStr">
        <is>
          <t>R1</t>
        </is>
      </c>
      <c r="F135" s="12" t="n">
        <v>261446</v>
      </c>
      <c r="G135" s="14" t="n">
        <v>1.254244458933079</v>
      </c>
      <c r="H135" s="14" t="n">
        <v>39.81380917698471</v>
      </c>
      <c r="I135" s="14" t="n">
        <v>49.80641996016355</v>
      </c>
      <c r="J135" s="6" t="inlineStr">
        <is>
          <t>measured</t>
        </is>
      </c>
      <c r="K135" s="6" t="inlineStr">
        <is>
          <t>Medido</t>
        </is>
      </c>
    </row>
    <row r="136">
      <c r="A136" s="12" t="n">
        <v>132</v>
      </c>
      <c r="B136" s="13" t="n">
        <v>45973</v>
      </c>
      <c r="C136" s="6" t="inlineStr">
        <is>
          <t>Riego</t>
        </is>
      </c>
      <c r="D136" s="6" t="inlineStr">
        <is>
          <t>M3</t>
        </is>
      </c>
      <c r="E136" s="6" t="inlineStr">
        <is>
          <t>R1</t>
        </is>
      </c>
      <c r="F136" s="12" t="n">
        <v>261447</v>
      </c>
      <c r="G136" s="14" t="n">
        <v>0.9769417255964026</v>
      </c>
      <c r="H136" s="14" t="n">
        <v>37.97362709395485</v>
      </c>
      <c r="I136" s="14" t="n">
        <v>47.4641199287137</v>
      </c>
      <c r="J136" s="6" t="inlineStr">
        <is>
          <t>measured</t>
        </is>
      </c>
      <c r="K136" s="6" t="inlineStr">
        <is>
          <t>Medido</t>
        </is>
      </c>
    </row>
    <row r="137">
      <c r="A137" s="12" t="n">
        <v>133</v>
      </c>
      <c r="B137" s="13" t="n">
        <v>45973</v>
      </c>
      <c r="C137" s="6" t="inlineStr">
        <is>
          <t>Riego</t>
        </is>
      </c>
      <c r="D137" s="6" t="inlineStr">
        <is>
          <t>M4</t>
        </is>
      </c>
      <c r="E137" s="6" t="inlineStr">
        <is>
          <t>R1</t>
        </is>
      </c>
      <c r="F137" s="12" t="n">
        <v>261448</v>
      </c>
      <c r="G137" s="14" t="n">
        <v>1.389736003142919</v>
      </c>
      <c r="H137" s="14" t="n">
        <v>38.22524889078577</v>
      </c>
      <c r="I137" s="14" t="n">
        <v>68.0413290521053</v>
      </c>
      <c r="J137" s="6" t="inlineStr">
        <is>
          <t>measured</t>
        </is>
      </c>
      <c r="K137" s="6" t="inlineStr">
        <is>
          <t>Medido</t>
        </is>
      </c>
    </row>
    <row r="138">
      <c r="A138" s="12" t="n">
        <v>134</v>
      </c>
      <c r="B138" s="13" t="n">
        <v>45973</v>
      </c>
      <c r="C138" s="6" t="inlineStr">
        <is>
          <t>Riego</t>
        </is>
      </c>
      <c r="D138" s="6" t="inlineStr">
        <is>
          <t>M5</t>
        </is>
      </c>
      <c r="E138" s="6" t="inlineStr">
        <is>
          <t>R1</t>
        </is>
      </c>
      <c r="F138" s="12" t="n">
        <v>261449</v>
      </c>
      <c r="G138" s="14" t="n">
        <v>1.431221572462678</v>
      </c>
      <c r="H138" s="14" t="n">
        <v>40.00983976693372</v>
      </c>
      <c r="I138" s="14" t="n">
        <v>50.11181046231261</v>
      </c>
      <c r="J138" s="6" t="inlineStr">
        <is>
          <t>measured</t>
        </is>
      </c>
      <c r="K138" s="6" t="inlineStr">
        <is>
          <t>Medido</t>
        </is>
      </c>
    </row>
    <row r="139">
      <c r="A139" s="12" t="n">
        <v>135</v>
      </c>
      <c r="B139" s="13" t="n">
        <v>45973</v>
      </c>
      <c r="C139" s="6" t="inlineStr">
        <is>
          <t>Riego</t>
        </is>
      </c>
      <c r="D139" s="6" t="inlineStr">
        <is>
          <t>M3</t>
        </is>
      </c>
      <c r="E139" s="6" t="inlineStr">
        <is>
          <t>R2</t>
        </is>
      </c>
      <c r="F139" s="12" t="n">
        <v>261450</v>
      </c>
      <c r="G139" s="14" t="n">
        <v>0.9182988648711904</v>
      </c>
      <c r="H139" s="14" t="n">
        <v>36.73492534595776</v>
      </c>
      <c r="I139" s="14" t="n">
        <v>46.35139951776916</v>
      </c>
      <c r="J139" s="6" t="inlineStr">
        <is>
          <t>measured</t>
        </is>
      </c>
      <c r="K139" s="6" t="inlineStr">
        <is>
          <t>Medido</t>
        </is>
      </c>
    </row>
    <row r="140">
      <c r="A140" s="12" t="n">
        <v>136</v>
      </c>
      <c r="B140" s="13" t="n">
        <v>45973</v>
      </c>
      <c r="C140" s="6" t="inlineStr">
        <is>
          <t>Riego</t>
        </is>
      </c>
      <c r="D140" s="6" t="inlineStr">
        <is>
          <t>M2</t>
        </is>
      </c>
      <c r="E140" s="6" t="inlineStr">
        <is>
          <t>R2</t>
        </is>
      </c>
      <c r="F140" s="12" t="n">
        <v>261451</v>
      </c>
      <c r="G140" s="14" t="n">
        <v>1.210789895849006</v>
      </c>
      <c r="H140" s="14" t="n">
        <v>38.21701383831028</v>
      </c>
      <c r="I140" s="14" t="n">
        <v>47.90344899884684</v>
      </c>
      <c r="J140" s="6" t="inlineStr">
        <is>
          <t>measured</t>
        </is>
      </c>
      <c r="K140" s="6" t="inlineStr">
        <is>
          <t>Medido</t>
        </is>
      </c>
    </row>
    <row r="141">
      <c r="A141" s="12" t="n">
        <v>137</v>
      </c>
      <c r="B141" s="13" t="n">
        <v>45973</v>
      </c>
      <c r="C141" s="6" t="inlineStr">
        <is>
          <t>Riego</t>
        </is>
      </c>
      <c r="D141" s="6" t="inlineStr">
        <is>
          <t>M4</t>
        </is>
      </c>
      <c r="E141" s="6" t="inlineStr">
        <is>
          <t>R2</t>
        </is>
      </c>
      <c r="F141" s="12" t="n">
        <v>261452</v>
      </c>
      <c r="G141" s="14" t="n">
        <v>1.179349362221442</v>
      </c>
      <c r="H141" s="14" t="n">
        <v>34.98019847050255</v>
      </c>
      <c r="I141" s="14" t="n">
        <v>44.49237446273194</v>
      </c>
      <c r="J141" s="6" t="inlineStr">
        <is>
          <t>measured</t>
        </is>
      </c>
      <c r="K141" s="6" t="inlineStr">
        <is>
          <t>Medido</t>
        </is>
      </c>
    </row>
    <row r="142">
      <c r="A142" s="12" t="n">
        <v>138</v>
      </c>
      <c r="B142" s="13" t="n">
        <v>45973</v>
      </c>
      <c r="C142" s="6" t="inlineStr">
        <is>
          <t>Riego</t>
        </is>
      </c>
      <c r="D142" s="6" t="inlineStr">
        <is>
          <t>M0</t>
        </is>
      </c>
      <c r="E142" s="6" t="inlineStr">
        <is>
          <t>R2</t>
        </is>
      </c>
      <c r="F142" s="12" t="n">
        <v>261453</v>
      </c>
      <c r="G142" s="14" t="n">
        <v>0.8710956952037048</v>
      </c>
      <c r="H142" s="14" t="n">
        <v>36.43343772760379</v>
      </c>
      <c r="I142" s="14" t="n">
        <v>46.3208397106615</v>
      </c>
      <c r="J142" s="6" t="inlineStr">
        <is>
          <t>measured</t>
        </is>
      </c>
      <c r="K142" s="6" t="inlineStr">
        <is>
          <t>Medido</t>
        </is>
      </c>
    </row>
    <row r="143">
      <c r="A143" s="12" t="n">
        <v>139</v>
      </c>
      <c r="B143" s="13" t="n">
        <v>45973</v>
      </c>
      <c r="C143" s="6" t="inlineStr">
        <is>
          <t>Riego</t>
        </is>
      </c>
      <c r="D143" s="6" t="inlineStr">
        <is>
          <t>M1</t>
        </is>
      </c>
      <c r="E143" s="6" t="inlineStr">
        <is>
          <t>R2</t>
        </is>
      </c>
      <c r="F143" s="12" t="n">
        <v>261454</v>
      </c>
      <c r="G143" s="14" t="n">
        <v>1.213454449404016</v>
      </c>
      <c r="H143" s="14" t="n">
        <v>38.05462490895849</v>
      </c>
      <c r="I143" s="14" t="n">
        <v>48.44189223189014</v>
      </c>
      <c r="J143" s="6" t="inlineStr">
        <is>
          <t>measured</t>
        </is>
      </c>
      <c r="K143" s="6" t="inlineStr">
        <is>
          <t>Medido</t>
        </is>
      </c>
    </row>
    <row r="144">
      <c r="A144" s="12" t="n">
        <v>140</v>
      </c>
      <c r="B144" s="13" t="n">
        <v>45973</v>
      </c>
      <c r="C144" s="6" t="inlineStr">
        <is>
          <t>Riego</t>
        </is>
      </c>
      <c r="D144" s="6" t="inlineStr">
        <is>
          <t>M5</t>
        </is>
      </c>
      <c r="E144" s="6" t="inlineStr">
        <is>
          <t>R2</t>
        </is>
      </c>
      <c r="F144" s="12" t="n">
        <v>261455</v>
      </c>
      <c r="G144" s="14" t="n">
        <v>1.095622635705569</v>
      </c>
      <c r="H144" s="14" t="n">
        <v>37.83892206846323</v>
      </c>
      <c r="I144" s="14" t="n">
        <v>47.48495649439145</v>
      </c>
      <c r="J144" s="6" t="inlineStr">
        <is>
          <t>measured</t>
        </is>
      </c>
      <c r="K144" s="6" t="inlineStr">
        <is>
          <t>Medido</t>
        </is>
      </c>
    </row>
    <row r="145">
      <c r="A145" s="12" t="n">
        <v>141</v>
      </c>
      <c r="B145" s="13" t="n">
        <v>45973</v>
      </c>
      <c r="C145" s="6" t="inlineStr">
        <is>
          <t>Riego</t>
        </is>
      </c>
      <c r="D145" s="6" t="inlineStr">
        <is>
          <t>M3</t>
        </is>
      </c>
      <c r="E145" s="6" t="inlineStr">
        <is>
          <t>R3</t>
        </is>
      </c>
      <c r="F145" s="12" t="n">
        <v>261456</v>
      </c>
      <c r="G145" s="14" t="n">
        <v>1.008291957135931</v>
      </c>
      <c r="H145" s="14" t="n">
        <v>36.4988146394756</v>
      </c>
      <c r="I145" s="14" t="n">
        <v>45.70354963832686</v>
      </c>
      <c r="J145" s="6" t="inlineStr">
        <is>
          <t>measured</t>
        </is>
      </c>
      <c r="K145" s="6" t="inlineStr">
        <is>
          <t>Medido</t>
        </is>
      </c>
    </row>
    <row r="146">
      <c r="A146" s="12" t="n">
        <v>142</v>
      </c>
      <c r="B146" s="13" t="n">
        <v>45973</v>
      </c>
      <c r="C146" s="6" t="inlineStr">
        <is>
          <t>Riego</t>
        </is>
      </c>
      <c r="D146" s="6" t="inlineStr">
        <is>
          <t>M4</t>
        </is>
      </c>
      <c r="E146" s="6" t="inlineStr">
        <is>
          <t>R3</t>
        </is>
      </c>
      <c r="F146" s="12" t="n">
        <v>261457</v>
      </c>
      <c r="G146" s="14" t="n">
        <v>1.275217225872244</v>
      </c>
      <c r="H146" s="14" t="n">
        <v>36.82706482155863</v>
      </c>
      <c r="I146" s="14" t="n">
        <v>46.4942614529825</v>
      </c>
      <c r="J146" s="6" t="inlineStr">
        <is>
          <t>measured</t>
        </is>
      </c>
      <c r="K146" s="6" t="inlineStr">
        <is>
          <t>Medido</t>
        </is>
      </c>
    </row>
    <row r="147">
      <c r="A147" s="12" t="n">
        <v>143</v>
      </c>
      <c r="B147" s="13" t="n">
        <v>45973</v>
      </c>
      <c r="C147" s="6" t="inlineStr">
        <is>
          <t>Riego</t>
        </is>
      </c>
      <c r="D147" s="6" t="inlineStr">
        <is>
          <t>M0</t>
        </is>
      </c>
      <c r="E147" s="6" t="inlineStr">
        <is>
          <t>R3</t>
        </is>
      </c>
      <c r="F147" s="12" t="n">
        <v>261458</v>
      </c>
      <c r="G147" s="14" t="n">
        <v>0.8536237390708327</v>
      </c>
      <c r="H147" s="14" t="n">
        <v>34.06610342316097</v>
      </c>
      <c r="I147" s="14" t="n">
        <v>43.50370479085858</v>
      </c>
      <c r="J147" s="6" t="inlineStr">
        <is>
          <t>measured</t>
        </is>
      </c>
      <c r="K147" s="6" t="inlineStr">
        <is>
          <t>Medido</t>
        </is>
      </c>
    </row>
    <row r="148">
      <c r="A148" s="12" t="n">
        <v>144</v>
      </c>
      <c r="B148" s="13" t="n">
        <v>45973</v>
      </c>
      <c r="C148" s="6" t="inlineStr">
        <is>
          <t>Riego</t>
        </is>
      </c>
      <c r="D148" s="6" t="inlineStr">
        <is>
          <t>M1</t>
        </is>
      </c>
      <c r="E148" s="6" t="inlineStr">
        <is>
          <t>R3</t>
        </is>
      </c>
      <c r="F148" s="12" t="n">
        <v>261459</v>
      </c>
      <c r="G148" s="14" t="n">
        <v>1.206805904675928</v>
      </c>
      <c r="H148" s="14" t="n">
        <v>36.52499089584851</v>
      </c>
      <c r="I148" s="14" t="n">
        <v>46.08717475626376</v>
      </c>
      <c r="J148" s="6" t="inlineStr">
        <is>
          <t>measured</t>
        </is>
      </c>
      <c r="K148" s="6" t="inlineStr">
        <is>
          <t>Medido</t>
        </is>
      </c>
    </row>
    <row r="149">
      <c r="A149" s="12" t="n">
        <v>145</v>
      </c>
      <c r="B149" s="13" t="n">
        <v>45973</v>
      </c>
      <c r="C149" s="6" t="inlineStr">
        <is>
          <t>Riego</t>
        </is>
      </c>
      <c r="D149" s="6" t="inlineStr">
        <is>
          <t>M5</t>
        </is>
      </c>
      <c r="E149" s="6" t="inlineStr">
        <is>
          <t>R3</t>
        </is>
      </c>
      <c r="F149" s="12" t="n">
        <v>261460</v>
      </c>
      <c r="G149" s="14" t="n">
        <v>1.120957293077219</v>
      </c>
      <c r="H149" s="14" t="n">
        <v>37.37037099810458</v>
      </c>
      <c r="I149" s="14" t="n">
        <v>64.94270360318878</v>
      </c>
      <c r="J149" s="6" t="inlineStr">
        <is>
          <t>measured</t>
        </is>
      </c>
      <c r="K149" s="6" t="inlineStr">
        <is>
          <t>Medido</t>
        </is>
      </c>
    </row>
    <row r="150">
      <c r="A150" s="12" t="n">
        <v>146</v>
      </c>
      <c r="B150" s="13" t="n">
        <v>45973</v>
      </c>
      <c r="C150" s="6" t="inlineStr">
        <is>
          <t>Riego</t>
        </is>
      </c>
      <c r="D150" s="6" t="inlineStr">
        <is>
          <t>M2</t>
        </is>
      </c>
      <c r="E150" s="6" t="inlineStr">
        <is>
          <t>R3</t>
        </is>
      </c>
      <c r="F150" s="12" t="n">
        <v>261461</v>
      </c>
      <c r="G150" s="14" t="n">
        <v>1.092111125599746</v>
      </c>
      <c r="H150" s="14" t="n">
        <v>36.2118372177713</v>
      </c>
      <c r="I150" s="14" t="n">
        <v>45.88488940140476</v>
      </c>
      <c r="J150" s="6" t="inlineStr">
        <is>
          <t>measured</t>
        </is>
      </c>
      <c r="K150" s="6" t="inlineStr">
        <is>
          <t>Medido</t>
        </is>
      </c>
    </row>
    <row r="151">
      <c r="A151" s="12" t="n">
        <v>147</v>
      </c>
      <c r="B151" s="13" t="n">
        <v>45973</v>
      </c>
      <c r="C151" s="6" t="inlineStr">
        <is>
          <t>Riego</t>
        </is>
      </c>
      <c r="D151" s="6" t="inlineStr">
        <is>
          <t>M1</t>
        </is>
      </c>
      <c r="E151" s="6" t="inlineStr">
        <is>
          <t>R4</t>
        </is>
      </c>
      <c r="F151" s="12" t="n">
        <v>261462</v>
      </c>
      <c r="G151" s="14" t="n">
        <v>0.9878776936322452</v>
      </c>
      <c r="H151" s="14" t="n">
        <v>38.39352694828843</v>
      </c>
      <c r="I151" s="14" t="n">
        <v>48.06124855854912</v>
      </c>
      <c r="J151" s="6" t="inlineStr">
        <is>
          <t>measured</t>
        </is>
      </c>
      <c r="K151" s="6" t="inlineStr">
        <is>
          <t>Medido</t>
        </is>
      </c>
    </row>
    <row r="152">
      <c r="A152" s="12" t="n">
        <v>148</v>
      </c>
      <c r="B152" s="13" t="n">
        <v>45973</v>
      </c>
      <c r="C152" s="6" t="inlineStr">
        <is>
          <t>Riego</t>
        </is>
      </c>
      <c r="D152" s="6" t="inlineStr">
        <is>
          <t>M0</t>
        </is>
      </c>
      <c r="E152" s="6" t="inlineStr">
        <is>
          <t>R4</t>
        </is>
      </c>
      <c r="F152" s="12" t="n">
        <v>261463</v>
      </c>
      <c r="G152" s="14" t="n">
        <v>0.8895973829513349</v>
      </c>
      <c r="H152" s="14" t="n">
        <v>36.76574915504624</v>
      </c>
      <c r="I152" s="14" t="n">
        <v>65.21562973682741</v>
      </c>
      <c r="J152" s="6" t="inlineStr">
        <is>
          <t>measured</t>
        </is>
      </c>
      <c r="K152" s="6" t="inlineStr">
        <is>
          <t>Medido</t>
        </is>
      </c>
    </row>
    <row r="153">
      <c r="A153" s="12" t="n">
        <v>149</v>
      </c>
      <c r="B153" s="13" t="n">
        <v>45973</v>
      </c>
      <c r="C153" s="6" t="inlineStr">
        <is>
          <t>Riego</t>
        </is>
      </c>
      <c r="D153" s="6" t="inlineStr">
        <is>
          <t>M5</t>
        </is>
      </c>
      <c r="E153" s="6" t="inlineStr">
        <is>
          <t>R4</t>
        </is>
      </c>
      <c r="F153" s="12" t="n">
        <v>261464</v>
      </c>
      <c r="G153" s="14" t="n">
        <v>1.431221572462678</v>
      </c>
      <c r="H153" s="14" t="n">
        <v>36.15984887108522</v>
      </c>
      <c r="I153" s="14" t="n">
        <v>45.78406122235035</v>
      </c>
      <c r="J153" s="6" t="inlineStr">
        <is>
          <t>measured</t>
        </is>
      </c>
      <c r="K153" s="6" t="inlineStr">
        <is>
          <t>Medido</t>
        </is>
      </c>
    </row>
    <row r="154">
      <c r="A154" s="12" t="n">
        <v>150</v>
      </c>
      <c r="B154" s="13" t="n">
        <v>45973</v>
      </c>
      <c r="C154" s="6" t="inlineStr">
        <is>
          <t>Riego</t>
        </is>
      </c>
      <c r="D154" s="6" t="inlineStr">
        <is>
          <t>M4</t>
        </is>
      </c>
      <c r="E154" s="6" t="inlineStr">
        <is>
          <t>R4</t>
        </is>
      </c>
      <c r="F154" s="12" t="n">
        <v>261465</v>
      </c>
      <c r="G154" s="14" t="n">
        <v>1.402895818914355</v>
      </c>
      <c r="H154" s="14" t="n">
        <v>39.75793153678078</v>
      </c>
      <c r="I154" s="14" t="n">
        <v>49.74119299716952</v>
      </c>
      <c r="J154" s="6" t="inlineStr">
        <is>
          <t>measured</t>
        </is>
      </c>
      <c r="K154" s="6" t="inlineStr">
        <is>
          <t>Medido</t>
        </is>
      </c>
    </row>
    <row r="155">
      <c r="A155" s="12" t="n">
        <v>151</v>
      </c>
      <c r="B155" s="13" t="n">
        <v>45973</v>
      </c>
      <c r="C155" s="6" t="inlineStr">
        <is>
          <t>Riego</t>
        </is>
      </c>
      <c r="D155" s="6" t="inlineStr">
        <is>
          <t>M3</t>
        </is>
      </c>
      <c r="E155" s="6" t="inlineStr">
        <is>
          <t>R4</t>
        </is>
      </c>
      <c r="F155" s="12" t="n">
        <v>261466</v>
      </c>
      <c r="G155" s="14" t="n">
        <v>1.07707261815203</v>
      </c>
      <c r="H155" s="14" t="n">
        <v>37.22396941005098</v>
      </c>
      <c r="I155" s="14" t="n">
        <v>46.85321417339345</v>
      </c>
      <c r="J155" s="6" t="inlineStr">
        <is>
          <t>measured</t>
        </is>
      </c>
      <c r="K155" s="6" t="inlineStr">
        <is>
          <t>Medido</t>
        </is>
      </c>
    </row>
    <row r="156">
      <c r="A156" s="12" t="n">
        <v>152</v>
      </c>
      <c r="B156" s="13" t="n">
        <v>45973</v>
      </c>
      <c r="C156" s="6" t="inlineStr">
        <is>
          <t>Riego</t>
        </is>
      </c>
      <c r="D156" s="6" t="inlineStr">
        <is>
          <t>M2</t>
        </is>
      </c>
      <c r="E156" s="6" t="inlineStr">
        <is>
          <t>R4</t>
        </is>
      </c>
      <c r="F156" s="12" t="n">
        <v>261467</v>
      </c>
      <c r="G156" s="14" t="n">
        <v>1.040626524232242</v>
      </c>
      <c r="H156" s="14" t="n">
        <v>34.0844188331661</v>
      </c>
      <c r="I156" s="14" t="n">
        <v>61.49799903910774</v>
      </c>
      <c r="J156" s="6" t="inlineStr">
        <is>
          <t>measured</t>
        </is>
      </c>
      <c r="K156" s="6" t="inlineStr">
        <is>
          <t>Medido</t>
        </is>
      </c>
    </row>
  </sheetData>
  <conditionalFormatting sqref="A5:K156">
    <cfRule type="expression" priority="1" dxfId="1">
      <formula>$J5="estimated"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5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3" customWidth="1" min="4" max="4"/>
    <col width="11" customWidth="1" min="5" max="5"/>
    <col width="25" customWidth="1" min="6" max="6"/>
    <col width="22" customWidth="1" min="7" max="7"/>
    <col width="35" customWidth="1" min="8" max="8"/>
    <col width="36" customWidth="1" min="9" max="9"/>
    <col width="23" customWidth="1" min="10" max="10"/>
    <col width="17" customWidth="1" min="11" max="11"/>
    <col width="39" customWidth="1" min="12" max="12"/>
    <col width="24" customWidth="1" min="13" max="13"/>
    <col width="24" customWidth="1" min="14" max="14"/>
    <col width="37" customWidth="1" min="15" max="15"/>
    <col width="38" customWidth="1" min="16" max="16"/>
    <col width="31" customWidth="1" min="17" max="17"/>
    <col width="40" customWidth="1" min="18" max="18"/>
    <col width="42" customWidth="1" min="19" max="19"/>
    <col width="25" customWidth="1" min="20" max="20"/>
  </cols>
  <sheetData>
    <row r="1" ht="25" customHeight="1">
      <c r="A1" s="15" t="inlineStr">
        <is>
          <t>Calidad calculada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</row>
    <row r="2" ht="31" customHeight="1">
      <c r="A2" s="17" t="inlineStr">
        <is>
          <t>Una fila calculada por muestra de calidad. Origen canónico: quality_calculated.csv. Rol: calculado.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</row>
    <row r="4" ht="38" customHeight="1">
      <c r="A4" s="19" t="inlineStr">
        <is>
          <t>Muestra</t>
        </is>
      </c>
      <c r="B4" s="19" t="inlineStr">
        <is>
          <t>Fecha</t>
        </is>
      </c>
      <c r="C4" s="19" t="inlineStr">
        <is>
          <t>Sector hídrico</t>
        </is>
      </c>
      <c r="D4" s="19" t="inlineStr">
        <is>
          <t>Tratamiento</t>
        </is>
      </c>
      <c r="E4" s="19" t="inlineStr">
        <is>
          <t>Bloque</t>
        </is>
      </c>
      <c r="F4" s="19" t="inlineStr">
        <is>
          <t>Registro de laboratorio</t>
        </is>
      </c>
      <c r="G4" s="19" t="inlineStr">
        <is>
          <t>Nitrógeno medido (%)</t>
        </is>
      </c>
      <c r="H4" s="19" t="inlineStr">
        <is>
          <t>Fibra detergente ácido medida (%)</t>
        </is>
      </c>
      <c r="I4" s="19" t="inlineStr">
        <is>
          <t>Fibra detergente neutro medida (%)</t>
        </is>
      </c>
      <c r="J4" s="19" t="inlineStr">
        <is>
          <t>Estado de la medición</t>
        </is>
      </c>
      <c r="K4" s="19" t="inlineStr">
        <is>
          <t>Origen del dato</t>
        </is>
      </c>
      <c r="L4" s="19" t="inlineStr">
        <is>
          <t>Biomasa informada enlazada (kg MS/ha)</t>
        </is>
      </c>
      <c r="M4" s="19" t="inlineStr">
        <is>
          <t>Nitrógeno efectivo (%)</t>
        </is>
      </c>
      <c r="N4" s="19" t="inlineStr">
        <is>
          <t>Nitrógeno estimado (%)</t>
        </is>
      </c>
      <c r="O4" s="19" t="inlineStr">
        <is>
          <t>Fibra detergente ácido estimada (%)</t>
        </is>
      </c>
      <c r="P4" s="19" t="inlineStr">
        <is>
          <t>Fibra detergente neutro estimada (%)</t>
        </is>
      </c>
      <c r="Q4" s="19" t="inlineStr">
        <is>
          <t>Nitrógeno acumulado (kg N/ha)</t>
        </is>
      </c>
      <c r="R4" s="19" t="inlineStr">
        <is>
          <t>Concentración crítica de nitrógeno (%)</t>
        </is>
      </c>
      <c r="S4" s="19" t="inlineStr">
        <is>
          <t>Índice de nutrición nitrogenada (proporción)</t>
        </is>
      </c>
      <c r="T4" s="19" t="inlineStr">
        <is>
          <t>Procedencia del cálculo</t>
        </is>
      </c>
    </row>
    <row r="5">
      <c r="A5" s="12" t="n">
        <v>1</v>
      </c>
      <c r="B5" s="13">
        <f>INDEX(tblCalidadRegistrada[Fecha],MATCH(tblCalidadCalculada[[#This Row],[Muestra]],tblCalidadRegistrada[Muestra],0))</f>
        <v/>
      </c>
      <c r="C5" s="6">
        <f>INDEX(tblCalidadRegistrada[Sector hídrico],MATCH(tblCalidadCalculada[[#This Row],[Muestra]],tblCalidadRegistrada[Muestra],0))</f>
        <v/>
      </c>
      <c r="D5" s="6">
        <f>INDEX(tblCalidadRegistrada[Tratamiento],MATCH(tblCalidadCalculada[[#This Row],[Muestra]],tblCalidadRegistrada[Muestra],0))</f>
        <v/>
      </c>
      <c r="E5" s="6">
        <f>INDEX(tblCalidadRegistrada[Bloque],MATCH(tblCalidadCalculada[[#This Row],[Muestra]],tblCalidadRegistrada[Muestra],0))</f>
        <v/>
      </c>
      <c r="F5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5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5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5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5" s="6">
        <f>INDEX(tblCalidadRegistrada[Estado de la medición],MATCH(tblCalidadCalculada[[#This Row],[Muestra]],tblCalidadRegistrada[Muestra],0))</f>
        <v/>
      </c>
      <c r="K5" s="6">
        <f>INDEX(tblCalidadRegistrada[Origen del dato],MATCH(tblCalidadCalculada[[#This Row],[Muestra]],tblCalidadRegistrada[Muestra],0))</f>
        <v/>
      </c>
      <c r="L5" s="14">
        <f>INDEX(tblMSCalculada[Biomasa informada en el libro histórico (kg MS/ha)],MATCH(tblCalidadCalculada[[#This Row],[Muestra]],tblMSCalculada[Muestra],0))</f>
        <v/>
      </c>
      <c r="M5" s="14">
        <f>IF(tblCalidadCalculada[[#This Row],[Nitrógeno medido (%)]]="",tblCalidadCalculada[[#This Row],[Nitrógeno estimado (%)]],tblCalidadCalculada[[#This Row],[Nitrógeno medido (%)]])</f>
        <v/>
      </c>
      <c r="N5" s="14">
        <f>IF(tblCalidadCalculada[[#This Row],[Estado de la medición]]="estimated",INDEX(tblCalidadFaltante[Nitrógeno estimado (%)],MATCH(tblCalidadCalculada[[#This Row],[Muestra]],tblCalidadFaltante[Muestra],0)),"")</f>
        <v/>
      </c>
      <c r="O5" s="14">
        <f>IF(tblCalidadCalculada[[#This Row],[Estado de la medición]]="estimated",INDEX(tblCalidadFaltante[FDA estimada (%)],MATCH(tblCalidadCalculada[[#This Row],[Muestra]],tblCalidadFaltante[Muestra],0)),"")</f>
        <v/>
      </c>
      <c r="P5" s="14">
        <f>IF(tblCalidadCalculada[[#This Row],[Estado de la medición]]="estimated",INDEX(tblCalidadFaltante[FDN estimada (%)],MATCH(tblCalidadCalculada[[#This Row],[Muestra]],tblCalidadFaltante[Muestra],0)),"")</f>
        <v/>
      </c>
      <c r="Q5" s="14">
        <f>tblCalidadCalculada[[#This Row],[Biomasa informada enlazada (kg MS/ha)]]*tblCalidadCalculada[[#This Row],[Nitrógeno efectivo (%)]]/100</f>
        <v/>
      </c>
      <c r="R5" s="14">
        <f>4.8*(tblCalidadCalculada[[#This Row],[Biomasa informada enlazada (kg MS/ha)]]/1000)^(-0.32)</f>
        <v/>
      </c>
      <c r="S5" s="14">
        <f>tblCalidadCalculada[[#This Row],[Nitrógeno efectivo (%)]]/tblCalidadCalculada[[#This Row],[Concentración crítica de nitrógeno (%)]]</f>
        <v/>
      </c>
      <c r="T5" s="6" t="inlineStr">
        <is>
          <t>from_measured_quality</t>
        </is>
      </c>
    </row>
    <row r="6">
      <c r="A6" s="12" t="n">
        <v>2</v>
      </c>
      <c r="B6" s="13">
        <f>INDEX(tblCalidadRegistrada[Fecha],MATCH(tblCalidadCalculada[[#This Row],[Muestra]],tblCalidadRegistrada[Muestra],0))</f>
        <v/>
      </c>
      <c r="C6" s="6">
        <f>INDEX(tblCalidadRegistrada[Sector hídrico],MATCH(tblCalidadCalculada[[#This Row],[Muestra]],tblCalidadRegistrada[Muestra],0))</f>
        <v/>
      </c>
      <c r="D6" s="6">
        <f>INDEX(tblCalidadRegistrada[Tratamiento],MATCH(tblCalidadCalculada[[#This Row],[Muestra]],tblCalidadRegistrada[Muestra],0))</f>
        <v/>
      </c>
      <c r="E6" s="6">
        <f>INDEX(tblCalidadRegistrada[Bloque],MATCH(tblCalidadCalculada[[#This Row],[Muestra]],tblCalidadRegistrada[Muestra],0))</f>
        <v/>
      </c>
      <c r="F6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6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6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6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6" s="6">
        <f>INDEX(tblCalidadRegistrada[Estado de la medición],MATCH(tblCalidadCalculada[[#This Row],[Muestra]],tblCalidadRegistrada[Muestra],0))</f>
        <v/>
      </c>
      <c r="K6" s="6">
        <f>INDEX(tblCalidadRegistrada[Origen del dato],MATCH(tblCalidadCalculada[[#This Row],[Muestra]],tblCalidadRegistrada[Muestra],0))</f>
        <v/>
      </c>
      <c r="L6" s="14">
        <f>INDEX(tblMSCalculada[Biomasa informada en el libro histórico (kg MS/ha)],MATCH(tblCalidadCalculada[[#This Row],[Muestra]],tblMSCalculada[Muestra],0))</f>
        <v/>
      </c>
      <c r="M6" s="14">
        <f>IF(tblCalidadCalculada[[#This Row],[Nitrógeno medido (%)]]="",tblCalidadCalculada[[#This Row],[Nitrógeno estimado (%)]],tblCalidadCalculada[[#This Row],[Nitrógeno medido (%)]])</f>
        <v/>
      </c>
      <c r="N6" s="14">
        <f>IF(tblCalidadCalculada[[#This Row],[Estado de la medición]]="estimated",INDEX(tblCalidadFaltante[Nitrógeno estimado (%)],MATCH(tblCalidadCalculada[[#This Row],[Muestra]],tblCalidadFaltante[Muestra],0)),"")</f>
        <v/>
      </c>
      <c r="O6" s="14">
        <f>IF(tblCalidadCalculada[[#This Row],[Estado de la medición]]="estimated",INDEX(tblCalidadFaltante[FDA estimada (%)],MATCH(tblCalidadCalculada[[#This Row],[Muestra]],tblCalidadFaltante[Muestra],0)),"")</f>
        <v/>
      </c>
      <c r="P6" s="14">
        <f>IF(tblCalidadCalculada[[#This Row],[Estado de la medición]]="estimated",INDEX(tblCalidadFaltante[FDN estimada (%)],MATCH(tblCalidadCalculada[[#This Row],[Muestra]],tblCalidadFaltante[Muestra],0)),"")</f>
        <v/>
      </c>
      <c r="Q6" s="14">
        <f>tblCalidadCalculada[[#This Row],[Biomasa informada enlazada (kg MS/ha)]]*tblCalidadCalculada[[#This Row],[Nitrógeno efectivo (%)]]/100</f>
        <v/>
      </c>
      <c r="R6" s="14">
        <f>4.8*(tblCalidadCalculada[[#This Row],[Biomasa informada enlazada (kg MS/ha)]]/1000)^(-0.32)</f>
        <v/>
      </c>
      <c r="S6" s="14">
        <f>tblCalidadCalculada[[#This Row],[Nitrógeno efectivo (%)]]/tblCalidadCalculada[[#This Row],[Concentración crítica de nitrógeno (%)]]</f>
        <v/>
      </c>
      <c r="T6" s="6" t="inlineStr">
        <is>
          <t>from_measured_quality</t>
        </is>
      </c>
    </row>
    <row r="7">
      <c r="A7" s="12" t="n">
        <v>3</v>
      </c>
      <c r="B7" s="13">
        <f>INDEX(tblCalidadRegistrada[Fecha],MATCH(tblCalidadCalculada[[#This Row],[Muestra]],tblCalidadRegistrada[Muestra],0))</f>
        <v/>
      </c>
      <c r="C7" s="6">
        <f>INDEX(tblCalidadRegistrada[Sector hídrico],MATCH(tblCalidadCalculada[[#This Row],[Muestra]],tblCalidadRegistrada[Muestra],0))</f>
        <v/>
      </c>
      <c r="D7" s="6">
        <f>INDEX(tblCalidadRegistrada[Tratamiento],MATCH(tblCalidadCalculada[[#This Row],[Muestra]],tblCalidadRegistrada[Muestra],0))</f>
        <v/>
      </c>
      <c r="E7" s="6">
        <f>INDEX(tblCalidadRegistrada[Bloque],MATCH(tblCalidadCalculada[[#This Row],[Muestra]],tblCalidadRegistrada[Muestra],0))</f>
        <v/>
      </c>
      <c r="F7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7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7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7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7" s="6">
        <f>INDEX(tblCalidadRegistrada[Estado de la medición],MATCH(tblCalidadCalculada[[#This Row],[Muestra]],tblCalidadRegistrada[Muestra],0))</f>
        <v/>
      </c>
      <c r="K7" s="6">
        <f>INDEX(tblCalidadRegistrada[Origen del dato],MATCH(tblCalidadCalculada[[#This Row],[Muestra]],tblCalidadRegistrada[Muestra],0))</f>
        <v/>
      </c>
      <c r="L7" s="14">
        <f>INDEX(tblMSCalculada[Biomasa informada en el libro histórico (kg MS/ha)],MATCH(tblCalidadCalculada[[#This Row],[Muestra]],tblMSCalculada[Muestra],0))</f>
        <v/>
      </c>
      <c r="M7" s="14">
        <f>IF(tblCalidadCalculada[[#This Row],[Nitrógeno medido (%)]]="",tblCalidadCalculada[[#This Row],[Nitrógeno estimado (%)]],tblCalidadCalculada[[#This Row],[Nitrógeno medido (%)]])</f>
        <v/>
      </c>
      <c r="N7" s="14">
        <f>IF(tblCalidadCalculada[[#This Row],[Estado de la medición]]="estimated",INDEX(tblCalidadFaltante[Nitrógeno estimado (%)],MATCH(tblCalidadCalculada[[#This Row],[Muestra]],tblCalidadFaltante[Muestra],0)),"")</f>
        <v/>
      </c>
      <c r="O7" s="14">
        <f>IF(tblCalidadCalculada[[#This Row],[Estado de la medición]]="estimated",INDEX(tblCalidadFaltante[FDA estimada (%)],MATCH(tblCalidadCalculada[[#This Row],[Muestra]],tblCalidadFaltante[Muestra],0)),"")</f>
        <v/>
      </c>
      <c r="P7" s="14">
        <f>IF(tblCalidadCalculada[[#This Row],[Estado de la medición]]="estimated",INDEX(tblCalidadFaltante[FDN estimada (%)],MATCH(tblCalidadCalculada[[#This Row],[Muestra]],tblCalidadFaltante[Muestra],0)),"")</f>
        <v/>
      </c>
      <c r="Q7" s="14">
        <f>tblCalidadCalculada[[#This Row],[Biomasa informada enlazada (kg MS/ha)]]*tblCalidadCalculada[[#This Row],[Nitrógeno efectivo (%)]]/100</f>
        <v/>
      </c>
      <c r="R7" s="14">
        <f>4.8*(tblCalidadCalculada[[#This Row],[Biomasa informada enlazada (kg MS/ha)]]/1000)^(-0.32)</f>
        <v/>
      </c>
      <c r="S7" s="14">
        <f>tblCalidadCalculada[[#This Row],[Nitrógeno efectivo (%)]]/tblCalidadCalculada[[#This Row],[Concentración crítica de nitrógeno (%)]]</f>
        <v/>
      </c>
      <c r="T7" s="6" t="inlineStr">
        <is>
          <t>from_measured_quality</t>
        </is>
      </c>
    </row>
    <row r="8">
      <c r="A8" s="12" t="n">
        <v>4</v>
      </c>
      <c r="B8" s="13">
        <f>INDEX(tblCalidadRegistrada[Fecha],MATCH(tblCalidadCalculada[[#This Row],[Muestra]],tblCalidadRegistrada[Muestra],0))</f>
        <v/>
      </c>
      <c r="C8" s="6">
        <f>INDEX(tblCalidadRegistrada[Sector hídrico],MATCH(tblCalidadCalculada[[#This Row],[Muestra]],tblCalidadRegistrada[Muestra],0))</f>
        <v/>
      </c>
      <c r="D8" s="6">
        <f>INDEX(tblCalidadRegistrada[Tratamiento],MATCH(tblCalidadCalculada[[#This Row],[Muestra]],tblCalidadRegistrada[Muestra],0))</f>
        <v/>
      </c>
      <c r="E8" s="6">
        <f>INDEX(tblCalidadRegistrada[Bloque],MATCH(tblCalidadCalculada[[#This Row],[Muestra]],tblCalidadRegistrada[Muestra],0))</f>
        <v/>
      </c>
      <c r="F8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8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8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8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8" s="6">
        <f>INDEX(tblCalidadRegistrada[Estado de la medición],MATCH(tblCalidadCalculada[[#This Row],[Muestra]],tblCalidadRegistrada[Muestra],0))</f>
        <v/>
      </c>
      <c r="K8" s="6">
        <f>INDEX(tblCalidadRegistrada[Origen del dato],MATCH(tblCalidadCalculada[[#This Row],[Muestra]],tblCalidadRegistrada[Muestra],0))</f>
        <v/>
      </c>
      <c r="L8" s="14">
        <f>INDEX(tblMSCalculada[Biomasa informada en el libro histórico (kg MS/ha)],MATCH(tblCalidadCalculada[[#This Row],[Muestra]],tblMSCalculada[Muestra],0))</f>
        <v/>
      </c>
      <c r="M8" s="14">
        <f>IF(tblCalidadCalculada[[#This Row],[Nitrógeno medido (%)]]="",tblCalidadCalculada[[#This Row],[Nitrógeno estimado (%)]],tblCalidadCalculada[[#This Row],[Nitrógeno medido (%)]])</f>
        <v/>
      </c>
      <c r="N8" s="14">
        <f>IF(tblCalidadCalculada[[#This Row],[Estado de la medición]]="estimated",INDEX(tblCalidadFaltante[Nitrógeno estimado (%)],MATCH(tblCalidadCalculada[[#This Row],[Muestra]],tblCalidadFaltante[Muestra],0)),"")</f>
        <v/>
      </c>
      <c r="O8" s="14">
        <f>IF(tblCalidadCalculada[[#This Row],[Estado de la medición]]="estimated",INDEX(tblCalidadFaltante[FDA estimada (%)],MATCH(tblCalidadCalculada[[#This Row],[Muestra]],tblCalidadFaltante[Muestra],0)),"")</f>
        <v/>
      </c>
      <c r="P8" s="14">
        <f>IF(tblCalidadCalculada[[#This Row],[Estado de la medición]]="estimated",INDEX(tblCalidadFaltante[FDN estimada (%)],MATCH(tblCalidadCalculada[[#This Row],[Muestra]],tblCalidadFaltante[Muestra],0)),"")</f>
        <v/>
      </c>
      <c r="Q8" s="14">
        <f>tblCalidadCalculada[[#This Row],[Biomasa informada enlazada (kg MS/ha)]]*tblCalidadCalculada[[#This Row],[Nitrógeno efectivo (%)]]/100</f>
        <v/>
      </c>
      <c r="R8" s="14">
        <f>4.8*(tblCalidadCalculada[[#This Row],[Biomasa informada enlazada (kg MS/ha)]]/1000)^(-0.32)</f>
        <v/>
      </c>
      <c r="S8" s="14">
        <f>tblCalidadCalculada[[#This Row],[Nitrógeno efectivo (%)]]/tblCalidadCalculada[[#This Row],[Concentración crítica de nitrógeno (%)]]</f>
        <v/>
      </c>
      <c r="T8" s="6" t="inlineStr">
        <is>
          <t>from_measured_quality</t>
        </is>
      </c>
    </row>
    <row r="9">
      <c r="A9" s="12" t="n">
        <v>5</v>
      </c>
      <c r="B9" s="13">
        <f>INDEX(tblCalidadRegistrada[Fecha],MATCH(tblCalidadCalculada[[#This Row],[Muestra]],tblCalidadRegistrada[Muestra],0))</f>
        <v/>
      </c>
      <c r="C9" s="6">
        <f>INDEX(tblCalidadRegistrada[Sector hídrico],MATCH(tblCalidadCalculada[[#This Row],[Muestra]],tblCalidadRegistrada[Muestra],0))</f>
        <v/>
      </c>
      <c r="D9" s="6">
        <f>INDEX(tblCalidadRegistrada[Tratamiento],MATCH(tblCalidadCalculada[[#This Row],[Muestra]],tblCalidadRegistrada[Muestra],0))</f>
        <v/>
      </c>
      <c r="E9" s="6">
        <f>INDEX(tblCalidadRegistrada[Bloque],MATCH(tblCalidadCalculada[[#This Row],[Muestra]],tblCalidadRegistrada[Muestra],0))</f>
        <v/>
      </c>
      <c r="F9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9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9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9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9" s="6">
        <f>INDEX(tblCalidadRegistrada[Estado de la medición],MATCH(tblCalidadCalculada[[#This Row],[Muestra]],tblCalidadRegistrada[Muestra],0))</f>
        <v/>
      </c>
      <c r="K9" s="6">
        <f>INDEX(tblCalidadRegistrada[Origen del dato],MATCH(tblCalidadCalculada[[#This Row],[Muestra]],tblCalidadRegistrada[Muestra],0))</f>
        <v/>
      </c>
      <c r="L9" s="14">
        <f>INDEX(tblMSCalculada[Biomasa informada en el libro histórico (kg MS/ha)],MATCH(tblCalidadCalculada[[#This Row],[Muestra]],tblMSCalculada[Muestra],0))</f>
        <v/>
      </c>
      <c r="M9" s="14">
        <f>IF(tblCalidadCalculada[[#This Row],[Nitrógeno medido (%)]]="",tblCalidadCalculada[[#This Row],[Nitrógeno estimado (%)]],tblCalidadCalculada[[#This Row],[Nitrógeno medido (%)]])</f>
        <v/>
      </c>
      <c r="N9" s="14">
        <f>IF(tblCalidadCalculada[[#This Row],[Estado de la medición]]="estimated",INDEX(tblCalidadFaltante[Nitrógeno estimado (%)],MATCH(tblCalidadCalculada[[#This Row],[Muestra]],tblCalidadFaltante[Muestra],0)),"")</f>
        <v/>
      </c>
      <c r="O9" s="14">
        <f>IF(tblCalidadCalculada[[#This Row],[Estado de la medición]]="estimated",INDEX(tblCalidadFaltante[FDA estimada (%)],MATCH(tblCalidadCalculada[[#This Row],[Muestra]],tblCalidadFaltante[Muestra],0)),"")</f>
        <v/>
      </c>
      <c r="P9" s="14">
        <f>IF(tblCalidadCalculada[[#This Row],[Estado de la medición]]="estimated",INDEX(tblCalidadFaltante[FDN estimada (%)],MATCH(tblCalidadCalculada[[#This Row],[Muestra]],tblCalidadFaltante[Muestra],0)),"")</f>
        <v/>
      </c>
      <c r="Q9" s="14">
        <f>tblCalidadCalculada[[#This Row],[Biomasa informada enlazada (kg MS/ha)]]*tblCalidadCalculada[[#This Row],[Nitrógeno efectivo (%)]]/100</f>
        <v/>
      </c>
      <c r="R9" s="14">
        <f>4.8*(tblCalidadCalculada[[#This Row],[Biomasa informada enlazada (kg MS/ha)]]/1000)^(-0.32)</f>
        <v/>
      </c>
      <c r="S9" s="14">
        <f>tblCalidadCalculada[[#This Row],[Nitrógeno efectivo (%)]]/tblCalidadCalculada[[#This Row],[Concentración crítica de nitrógeno (%)]]</f>
        <v/>
      </c>
      <c r="T9" s="6" t="inlineStr">
        <is>
          <t>from_measured_quality</t>
        </is>
      </c>
    </row>
    <row r="10">
      <c r="A10" s="12" t="n">
        <v>6</v>
      </c>
      <c r="B10" s="13">
        <f>INDEX(tblCalidadRegistrada[Fecha],MATCH(tblCalidadCalculada[[#This Row],[Muestra]],tblCalidadRegistrada[Muestra],0))</f>
        <v/>
      </c>
      <c r="C10" s="6">
        <f>INDEX(tblCalidadRegistrada[Sector hídrico],MATCH(tblCalidadCalculada[[#This Row],[Muestra]],tblCalidadRegistrada[Muestra],0))</f>
        <v/>
      </c>
      <c r="D10" s="6">
        <f>INDEX(tblCalidadRegistrada[Tratamiento],MATCH(tblCalidadCalculada[[#This Row],[Muestra]],tblCalidadRegistrada[Muestra],0))</f>
        <v/>
      </c>
      <c r="E10" s="6">
        <f>INDEX(tblCalidadRegistrada[Bloque],MATCH(tblCalidadCalculada[[#This Row],[Muestra]],tblCalidadRegistrada[Muestra],0))</f>
        <v/>
      </c>
      <c r="F10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0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0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0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0" s="6">
        <f>INDEX(tblCalidadRegistrada[Estado de la medición],MATCH(tblCalidadCalculada[[#This Row],[Muestra]],tblCalidadRegistrada[Muestra],0))</f>
        <v/>
      </c>
      <c r="K10" s="6">
        <f>INDEX(tblCalidadRegistrada[Origen del dato],MATCH(tblCalidadCalculada[[#This Row],[Muestra]],tblCalidadRegistrada[Muestra],0))</f>
        <v/>
      </c>
      <c r="L10" s="14">
        <f>INDEX(tblMSCalculada[Biomasa informada en el libro histórico (kg MS/ha)],MATCH(tblCalidadCalculada[[#This Row],[Muestra]],tblMSCalculada[Muestra],0))</f>
        <v/>
      </c>
      <c r="M10" s="14">
        <f>IF(tblCalidadCalculada[[#This Row],[Nitrógeno medido (%)]]="",tblCalidadCalculada[[#This Row],[Nitrógeno estimado (%)]],tblCalidadCalculada[[#This Row],[Nitrógeno medido (%)]])</f>
        <v/>
      </c>
      <c r="N10" s="14">
        <f>IF(tblCalidadCalculada[[#This Row],[Estado de la medición]]="estimated",INDEX(tblCalidadFaltante[Nitrógeno estimado (%)],MATCH(tblCalidadCalculada[[#This Row],[Muestra]],tblCalidadFaltante[Muestra],0)),"")</f>
        <v/>
      </c>
      <c r="O10" s="14">
        <f>IF(tblCalidadCalculada[[#This Row],[Estado de la medición]]="estimated",INDEX(tblCalidadFaltante[FDA estimada (%)],MATCH(tblCalidadCalculada[[#This Row],[Muestra]],tblCalidadFaltante[Muestra],0)),"")</f>
        <v/>
      </c>
      <c r="P10" s="14">
        <f>IF(tblCalidadCalculada[[#This Row],[Estado de la medición]]="estimated",INDEX(tblCalidadFaltante[FDN estimada (%)],MATCH(tblCalidadCalculada[[#This Row],[Muestra]],tblCalidadFaltante[Muestra],0)),"")</f>
        <v/>
      </c>
      <c r="Q10" s="14">
        <f>tblCalidadCalculada[[#This Row],[Biomasa informada enlazada (kg MS/ha)]]*tblCalidadCalculada[[#This Row],[Nitrógeno efectivo (%)]]/100</f>
        <v/>
      </c>
      <c r="R10" s="14">
        <f>4.8*(tblCalidadCalculada[[#This Row],[Biomasa informada enlazada (kg MS/ha)]]/1000)^(-0.32)</f>
        <v/>
      </c>
      <c r="S10" s="14">
        <f>tblCalidadCalculada[[#This Row],[Nitrógeno efectivo (%)]]/tblCalidadCalculada[[#This Row],[Concentración crítica de nitrógeno (%)]]</f>
        <v/>
      </c>
      <c r="T10" s="6" t="inlineStr">
        <is>
          <t>from_measured_quality</t>
        </is>
      </c>
    </row>
    <row r="11">
      <c r="A11" s="12" t="n">
        <v>7</v>
      </c>
      <c r="B11" s="13">
        <f>INDEX(tblCalidadRegistrada[Fecha],MATCH(tblCalidadCalculada[[#This Row],[Muestra]],tblCalidadRegistrada[Muestra],0))</f>
        <v/>
      </c>
      <c r="C11" s="6">
        <f>INDEX(tblCalidadRegistrada[Sector hídrico],MATCH(tblCalidadCalculada[[#This Row],[Muestra]],tblCalidadRegistrada[Muestra],0))</f>
        <v/>
      </c>
      <c r="D11" s="6">
        <f>INDEX(tblCalidadRegistrada[Tratamiento],MATCH(tblCalidadCalculada[[#This Row],[Muestra]],tblCalidadRegistrada[Muestra],0))</f>
        <v/>
      </c>
      <c r="E11" s="6">
        <f>INDEX(tblCalidadRegistrada[Bloque],MATCH(tblCalidadCalculada[[#This Row],[Muestra]],tblCalidadRegistrada[Muestra],0))</f>
        <v/>
      </c>
      <c r="F11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1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1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1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1" s="6">
        <f>INDEX(tblCalidadRegistrada[Estado de la medición],MATCH(tblCalidadCalculada[[#This Row],[Muestra]],tblCalidadRegistrada[Muestra],0))</f>
        <v/>
      </c>
      <c r="K11" s="6">
        <f>INDEX(tblCalidadRegistrada[Origen del dato],MATCH(tblCalidadCalculada[[#This Row],[Muestra]],tblCalidadRegistrada[Muestra],0))</f>
        <v/>
      </c>
      <c r="L11" s="14">
        <f>INDEX(tblMSCalculada[Biomasa informada en el libro histórico (kg MS/ha)],MATCH(tblCalidadCalculada[[#This Row],[Muestra]],tblMSCalculada[Muestra],0))</f>
        <v/>
      </c>
      <c r="M11" s="14">
        <f>IF(tblCalidadCalculada[[#This Row],[Nitrógeno medido (%)]]="",tblCalidadCalculada[[#This Row],[Nitrógeno estimado (%)]],tblCalidadCalculada[[#This Row],[Nitrógeno medido (%)]])</f>
        <v/>
      </c>
      <c r="N11" s="14">
        <f>IF(tblCalidadCalculada[[#This Row],[Estado de la medición]]="estimated",INDEX(tblCalidadFaltante[Nitrógeno estimado (%)],MATCH(tblCalidadCalculada[[#This Row],[Muestra]],tblCalidadFaltante[Muestra],0)),"")</f>
        <v/>
      </c>
      <c r="O11" s="14">
        <f>IF(tblCalidadCalculada[[#This Row],[Estado de la medición]]="estimated",INDEX(tblCalidadFaltante[FDA estimada (%)],MATCH(tblCalidadCalculada[[#This Row],[Muestra]],tblCalidadFaltante[Muestra],0)),"")</f>
        <v/>
      </c>
      <c r="P11" s="14">
        <f>IF(tblCalidadCalculada[[#This Row],[Estado de la medición]]="estimated",INDEX(tblCalidadFaltante[FDN estimada (%)],MATCH(tblCalidadCalculada[[#This Row],[Muestra]],tblCalidadFaltante[Muestra],0)),"")</f>
        <v/>
      </c>
      <c r="Q11" s="14">
        <f>tblCalidadCalculada[[#This Row],[Biomasa informada enlazada (kg MS/ha)]]*tblCalidadCalculada[[#This Row],[Nitrógeno efectivo (%)]]/100</f>
        <v/>
      </c>
      <c r="R11" s="14">
        <f>4.8*(tblCalidadCalculada[[#This Row],[Biomasa informada enlazada (kg MS/ha)]]/1000)^(-0.32)</f>
        <v/>
      </c>
      <c r="S11" s="14">
        <f>tblCalidadCalculada[[#This Row],[Nitrógeno efectivo (%)]]/tblCalidadCalculada[[#This Row],[Concentración crítica de nitrógeno (%)]]</f>
        <v/>
      </c>
      <c r="T11" s="6" t="inlineStr">
        <is>
          <t>from_measured_quality</t>
        </is>
      </c>
    </row>
    <row r="12">
      <c r="A12" s="12" t="n">
        <v>8</v>
      </c>
      <c r="B12" s="13">
        <f>INDEX(tblCalidadRegistrada[Fecha],MATCH(tblCalidadCalculada[[#This Row],[Muestra]],tblCalidadRegistrada[Muestra],0))</f>
        <v/>
      </c>
      <c r="C12" s="6">
        <f>INDEX(tblCalidadRegistrada[Sector hídrico],MATCH(tblCalidadCalculada[[#This Row],[Muestra]],tblCalidadRegistrada[Muestra],0))</f>
        <v/>
      </c>
      <c r="D12" s="6">
        <f>INDEX(tblCalidadRegistrada[Tratamiento],MATCH(tblCalidadCalculada[[#This Row],[Muestra]],tblCalidadRegistrada[Muestra],0))</f>
        <v/>
      </c>
      <c r="E12" s="6">
        <f>INDEX(tblCalidadRegistrada[Bloque],MATCH(tblCalidadCalculada[[#This Row],[Muestra]],tblCalidadRegistrada[Muestra],0))</f>
        <v/>
      </c>
      <c r="F12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2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2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2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2" s="6">
        <f>INDEX(tblCalidadRegistrada[Estado de la medición],MATCH(tblCalidadCalculada[[#This Row],[Muestra]],tblCalidadRegistrada[Muestra],0))</f>
        <v/>
      </c>
      <c r="K12" s="6">
        <f>INDEX(tblCalidadRegistrada[Origen del dato],MATCH(tblCalidadCalculada[[#This Row],[Muestra]],tblCalidadRegistrada[Muestra],0))</f>
        <v/>
      </c>
      <c r="L12" s="14">
        <f>INDEX(tblMSCalculada[Biomasa informada en el libro histórico (kg MS/ha)],MATCH(tblCalidadCalculada[[#This Row],[Muestra]],tblMSCalculada[Muestra],0))</f>
        <v/>
      </c>
      <c r="M12" s="14">
        <f>IF(tblCalidadCalculada[[#This Row],[Nitrógeno medido (%)]]="",tblCalidadCalculada[[#This Row],[Nitrógeno estimado (%)]],tblCalidadCalculada[[#This Row],[Nitrógeno medido (%)]])</f>
        <v/>
      </c>
      <c r="N12" s="14">
        <f>IF(tblCalidadCalculada[[#This Row],[Estado de la medición]]="estimated",INDEX(tblCalidadFaltante[Nitrógeno estimado (%)],MATCH(tblCalidadCalculada[[#This Row],[Muestra]],tblCalidadFaltante[Muestra],0)),"")</f>
        <v/>
      </c>
      <c r="O12" s="14">
        <f>IF(tblCalidadCalculada[[#This Row],[Estado de la medición]]="estimated",INDEX(tblCalidadFaltante[FDA estimada (%)],MATCH(tblCalidadCalculada[[#This Row],[Muestra]],tblCalidadFaltante[Muestra],0)),"")</f>
        <v/>
      </c>
      <c r="P12" s="14">
        <f>IF(tblCalidadCalculada[[#This Row],[Estado de la medición]]="estimated",INDEX(tblCalidadFaltante[FDN estimada (%)],MATCH(tblCalidadCalculada[[#This Row],[Muestra]],tblCalidadFaltante[Muestra],0)),"")</f>
        <v/>
      </c>
      <c r="Q12" s="14">
        <f>tblCalidadCalculada[[#This Row],[Biomasa informada enlazada (kg MS/ha)]]*tblCalidadCalculada[[#This Row],[Nitrógeno efectivo (%)]]/100</f>
        <v/>
      </c>
      <c r="R12" s="14">
        <f>4.8*(tblCalidadCalculada[[#This Row],[Biomasa informada enlazada (kg MS/ha)]]/1000)^(-0.32)</f>
        <v/>
      </c>
      <c r="S12" s="14">
        <f>tblCalidadCalculada[[#This Row],[Nitrógeno efectivo (%)]]/tblCalidadCalculada[[#This Row],[Concentración crítica de nitrógeno (%)]]</f>
        <v/>
      </c>
      <c r="T12" s="6" t="inlineStr">
        <is>
          <t>from_measured_quality</t>
        </is>
      </c>
    </row>
    <row r="13">
      <c r="A13" s="12" t="n">
        <v>9</v>
      </c>
      <c r="B13" s="13">
        <f>INDEX(tblCalidadRegistrada[Fecha],MATCH(tblCalidadCalculada[[#This Row],[Muestra]],tblCalidadRegistrada[Muestra],0))</f>
        <v/>
      </c>
      <c r="C13" s="6">
        <f>INDEX(tblCalidadRegistrada[Sector hídrico],MATCH(tblCalidadCalculada[[#This Row],[Muestra]],tblCalidadRegistrada[Muestra],0))</f>
        <v/>
      </c>
      <c r="D13" s="6">
        <f>INDEX(tblCalidadRegistrada[Tratamiento],MATCH(tblCalidadCalculada[[#This Row],[Muestra]],tblCalidadRegistrada[Muestra],0))</f>
        <v/>
      </c>
      <c r="E13" s="6">
        <f>INDEX(tblCalidadRegistrada[Bloque],MATCH(tblCalidadCalculada[[#This Row],[Muestra]],tblCalidadRegistrada[Muestra],0))</f>
        <v/>
      </c>
      <c r="F13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3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3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3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3" s="6">
        <f>INDEX(tblCalidadRegistrada[Estado de la medición],MATCH(tblCalidadCalculada[[#This Row],[Muestra]],tblCalidadRegistrada[Muestra],0))</f>
        <v/>
      </c>
      <c r="K13" s="6">
        <f>INDEX(tblCalidadRegistrada[Origen del dato],MATCH(tblCalidadCalculada[[#This Row],[Muestra]],tblCalidadRegistrada[Muestra],0))</f>
        <v/>
      </c>
      <c r="L13" s="14">
        <f>INDEX(tblMSCalculada[Biomasa informada en el libro histórico (kg MS/ha)],MATCH(tblCalidadCalculada[[#This Row],[Muestra]],tblMSCalculada[Muestra],0))</f>
        <v/>
      </c>
      <c r="M13" s="14">
        <f>IF(tblCalidadCalculada[[#This Row],[Nitrógeno medido (%)]]="",tblCalidadCalculada[[#This Row],[Nitrógeno estimado (%)]],tblCalidadCalculada[[#This Row],[Nitrógeno medido (%)]])</f>
        <v/>
      </c>
      <c r="N13" s="14">
        <f>IF(tblCalidadCalculada[[#This Row],[Estado de la medición]]="estimated",INDEX(tblCalidadFaltante[Nitrógeno estimado (%)],MATCH(tblCalidadCalculada[[#This Row],[Muestra]],tblCalidadFaltante[Muestra],0)),"")</f>
        <v/>
      </c>
      <c r="O13" s="14">
        <f>IF(tblCalidadCalculada[[#This Row],[Estado de la medición]]="estimated",INDEX(tblCalidadFaltante[FDA estimada (%)],MATCH(tblCalidadCalculada[[#This Row],[Muestra]],tblCalidadFaltante[Muestra],0)),"")</f>
        <v/>
      </c>
      <c r="P13" s="14">
        <f>IF(tblCalidadCalculada[[#This Row],[Estado de la medición]]="estimated",INDEX(tblCalidadFaltante[FDN estimada (%)],MATCH(tblCalidadCalculada[[#This Row],[Muestra]],tblCalidadFaltante[Muestra],0)),"")</f>
        <v/>
      </c>
      <c r="Q13" s="14">
        <f>tblCalidadCalculada[[#This Row],[Biomasa informada enlazada (kg MS/ha)]]*tblCalidadCalculada[[#This Row],[Nitrógeno efectivo (%)]]/100</f>
        <v/>
      </c>
      <c r="R13" s="14">
        <f>4.8*(tblCalidadCalculada[[#This Row],[Biomasa informada enlazada (kg MS/ha)]]/1000)^(-0.32)</f>
        <v/>
      </c>
      <c r="S13" s="14">
        <f>tblCalidadCalculada[[#This Row],[Nitrógeno efectivo (%)]]/tblCalidadCalculada[[#This Row],[Concentración crítica de nitrógeno (%)]]</f>
        <v/>
      </c>
      <c r="T13" s="6" t="inlineStr">
        <is>
          <t>from_measured_quality</t>
        </is>
      </c>
    </row>
    <row r="14">
      <c r="A14" s="12" t="n">
        <v>10</v>
      </c>
      <c r="B14" s="13">
        <f>INDEX(tblCalidadRegistrada[Fecha],MATCH(tblCalidadCalculada[[#This Row],[Muestra]],tblCalidadRegistrada[Muestra],0))</f>
        <v/>
      </c>
      <c r="C14" s="6">
        <f>INDEX(tblCalidadRegistrada[Sector hídrico],MATCH(tblCalidadCalculada[[#This Row],[Muestra]],tblCalidadRegistrada[Muestra],0))</f>
        <v/>
      </c>
      <c r="D14" s="6">
        <f>INDEX(tblCalidadRegistrada[Tratamiento],MATCH(tblCalidadCalculada[[#This Row],[Muestra]],tblCalidadRegistrada[Muestra],0))</f>
        <v/>
      </c>
      <c r="E14" s="6">
        <f>INDEX(tblCalidadRegistrada[Bloque],MATCH(tblCalidadCalculada[[#This Row],[Muestra]],tblCalidadRegistrada[Muestra],0))</f>
        <v/>
      </c>
      <c r="F14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4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4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4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4" s="6">
        <f>INDEX(tblCalidadRegistrada[Estado de la medición],MATCH(tblCalidadCalculada[[#This Row],[Muestra]],tblCalidadRegistrada[Muestra],0))</f>
        <v/>
      </c>
      <c r="K14" s="6">
        <f>INDEX(tblCalidadRegistrada[Origen del dato],MATCH(tblCalidadCalculada[[#This Row],[Muestra]],tblCalidadRegistrada[Muestra],0))</f>
        <v/>
      </c>
      <c r="L14" s="14">
        <f>INDEX(tblMSCalculada[Biomasa informada en el libro histórico (kg MS/ha)],MATCH(tblCalidadCalculada[[#This Row],[Muestra]],tblMSCalculada[Muestra],0))</f>
        <v/>
      </c>
      <c r="M14" s="14">
        <f>IF(tblCalidadCalculada[[#This Row],[Nitrógeno medido (%)]]="",tblCalidadCalculada[[#This Row],[Nitrógeno estimado (%)]],tblCalidadCalculada[[#This Row],[Nitrógeno medido (%)]])</f>
        <v/>
      </c>
      <c r="N14" s="14">
        <f>IF(tblCalidadCalculada[[#This Row],[Estado de la medición]]="estimated",INDEX(tblCalidadFaltante[Nitrógeno estimado (%)],MATCH(tblCalidadCalculada[[#This Row],[Muestra]],tblCalidadFaltante[Muestra],0)),"")</f>
        <v/>
      </c>
      <c r="O14" s="14">
        <f>IF(tblCalidadCalculada[[#This Row],[Estado de la medición]]="estimated",INDEX(tblCalidadFaltante[FDA estimada (%)],MATCH(tblCalidadCalculada[[#This Row],[Muestra]],tblCalidadFaltante[Muestra],0)),"")</f>
        <v/>
      </c>
      <c r="P14" s="14">
        <f>IF(tblCalidadCalculada[[#This Row],[Estado de la medición]]="estimated",INDEX(tblCalidadFaltante[FDN estimada (%)],MATCH(tblCalidadCalculada[[#This Row],[Muestra]],tblCalidadFaltante[Muestra],0)),"")</f>
        <v/>
      </c>
      <c r="Q14" s="14">
        <f>tblCalidadCalculada[[#This Row],[Biomasa informada enlazada (kg MS/ha)]]*tblCalidadCalculada[[#This Row],[Nitrógeno efectivo (%)]]/100</f>
        <v/>
      </c>
      <c r="R14" s="14">
        <f>4.8*(tblCalidadCalculada[[#This Row],[Biomasa informada enlazada (kg MS/ha)]]/1000)^(-0.32)</f>
        <v/>
      </c>
      <c r="S14" s="14">
        <f>tblCalidadCalculada[[#This Row],[Nitrógeno efectivo (%)]]/tblCalidadCalculada[[#This Row],[Concentración crítica de nitrógeno (%)]]</f>
        <v/>
      </c>
      <c r="T14" s="6" t="inlineStr">
        <is>
          <t>from_measured_quality</t>
        </is>
      </c>
    </row>
    <row r="15">
      <c r="A15" s="12" t="n">
        <v>11</v>
      </c>
      <c r="B15" s="13">
        <f>INDEX(tblCalidadRegistrada[Fecha],MATCH(tblCalidadCalculada[[#This Row],[Muestra]],tblCalidadRegistrada[Muestra],0))</f>
        <v/>
      </c>
      <c r="C15" s="6">
        <f>INDEX(tblCalidadRegistrada[Sector hídrico],MATCH(tblCalidadCalculada[[#This Row],[Muestra]],tblCalidadRegistrada[Muestra],0))</f>
        <v/>
      </c>
      <c r="D15" s="6">
        <f>INDEX(tblCalidadRegistrada[Tratamiento],MATCH(tblCalidadCalculada[[#This Row],[Muestra]],tblCalidadRegistrada[Muestra],0))</f>
        <v/>
      </c>
      <c r="E15" s="6">
        <f>INDEX(tblCalidadRegistrada[Bloque],MATCH(tblCalidadCalculada[[#This Row],[Muestra]],tblCalidadRegistrada[Muestra],0))</f>
        <v/>
      </c>
      <c r="F15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5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5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5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5" s="6">
        <f>INDEX(tblCalidadRegistrada[Estado de la medición],MATCH(tblCalidadCalculada[[#This Row],[Muestra]],tblCalidadRegistrada[Muestra],0))</f>
        <v/>
      </c>
      <c r="K15" s="6">
        <f>INDEX(tblCalidadRegistrada[Origen del dato],MATCH(tblCalidadCalculada[[#This Row],[Muestra]],tblCalidadRegistrada[Muestra],0))</f>
        <v/>
      </c>
      <c r="L15" s="14">
        <f>INDEX(tblMSCalculada[Biomasa informada en el libro histórico (kg MS/ha)],MATCH(tblCalidadCalculada[[#This Row],[Muestra]],tblMSCalculada[Muestra],0))</f>
        <v/>
      </c>
      <c r="M15" s="14">
        <f>IF(tblCalidadCalculada[[#This Row],[Nitrógeno medido (%)]]="",tblCalidadCalculada[[#This Row],[Nitrógeno estimado (%)]],tblCalidadCalculada[[#This Row],[Nitrógeno medido (%)]])</f>
        <v/>
      </c>
      <c r="N15" s="14">
        <f>IF(tblCalidadCalculada[[#This Row],[Estado de la medición]]="estimated",INDEX(tblCalidadFaltante[Nitrógeno estimado (%)],MATCH(tblCalidadCalculada[[#This Row],[Muestra]],tblCalidadFaltante[Muestra],0)),"")</f>
        <v/>
      </c>
      <c r="O15" s="14">
        <f>IF(tblCalidadCalculada[[#This Row],[Estado de la medición]]="estimated",INDEX(tblCalidadFaltante[FDA estimada (%)],MATCH(tblCalidadCalculada[[#This Row],[Muestra]],tblCalidadFaltante[Muestra],0)),"")</f>
        <v/>
      </c>
      <c r="P15" s="14">
        <f>IF(tblCalidadCalculada[[#This Row],[Estado de la medición]]="estimated",INDEX(tblCalidadFaltante[FDN estimada (%)],MATCH(tblCalidadCalculada[[#This Row],[Muestra]],tblCalidadFaltante[Muestra],0)),"")</f>
        <v/>
      </c>
      <c r="Q15" s="14">
        <f>tblCalidadCalculada[[#This Row],[Biomasa informada enlazada (kg MS/ha)]]*tblCalidadCalculada[[#This Row],[Nitrógeno efectivo (%)]]/100</f>
        <v/>
      </c>
      <c r="R15" s="14">
        <f>4.8*(tblCalidadCalculada[[#This Row],[Biomasa informada enlazada (kg MS/ha)]]/1000)^(-0.32)</f>
        <v/>
      </c>
      <c r="S15" s="14">
        <f>tblCalidadCalculada[[#This Row],[Nitrógeno efectivo (%)]]/tblCalidadCalculada[[#This Row],[Concentración crítica de nitrógeno (%)]]</f>
        <v/>
      </c>
      <c r="T15" s="6" t="inlineStr">
        <is>
          <t>from_measured_quality</t>
        </is>
      </c>
    </row>
    <row r="16">
      <c r="A16" s="12" t="n">
        <v>12</v>
      </c>
      <c r="B16" s="13">
        <f>INDEX(tblCalidadRegistrada[Fecha],MATCH(tblCalidadCalculada[[#This Row],[Muestra]],tblCalidadRegistrada[Muestra],0))</f>
        <v/>
      </c>
      <c r="C16" s="6">
        <f>INDEX(tblCalidadRegistrada[Sector hídrico],MATCH(tblCalidadCalculada[[#This Row],[Muestra]],tblCalidadRegistrada[Muestra],0))</f>
        <v/>
      </c>
      <c r="D16" s="6">
        <f>INDEX(tblCalidadRegistrada[Tratamiento],MATCH(tblCalidadCalculada[[#This Row],[Muestra]],tblCalidadRegistrada[Muestra],0))</f>
        <v/>
      </c>
      <c r="E16" s="6">
        <f>INDEX(tblCalidadRegistrada[Bloque],MATCH(tblCalidadCalculada[[#This Row],[Muestra]],tblCalidadRegistrada[Muestra],0))</f>
        <v/>
      </c>
      <c r="F16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6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6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6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6" s="6">
        <f>INDEX(tblCalidadRegistrada[Estado de la medición],MATCH(tblCalidadCalculada[[#This Row],[Muestra]],tblCalidadRegistrada[Muestra],0))</f>
        <v/>
      </c>
      <c r="K16" s="6">
        <f>INDEX(tblCalidadRegistrada[Origen del dato],MATCH(tblCalidadCalculada[[#This Row],[Muestra]],tblCalidadRegistrada[Muestra],0))</f>
        <v/>
      </c>
      <c r="L16" s="14">
        <f>INDEX(tblMSCalculada[Biomasa informada en el libro histórico (kg MS/ha)],MATCH(tblCalidadCalculada[[#This Row],[Muestra]],tblMSCalculada[Muestra],0))</f>
        <v/>
      </c>
      <c r="M16" s="14">
        <f>IF(tblCalidadCalculada[[#This Row],[Nitrógeno medido (%)]]="",tblCalidadCalculada[[#This Row],[Nitrógeno estimado (%)]],tblCalidadCalculada[[#This Row],[Nitrógeno medido (%)]])</f>
        <v/>
      </c>
      <c r="N16" s="14">
        <f>IF(tblCalidadCalculada[[#This Row],[Estado de la medición]]="estimated",INDEX(tblCalidadFaltante[Nitrógeno estimado (%)],MATCH(tblCalidadCalculada[[#This Row],[Muestra]],tblCalidadFaltante[Muestra],0)),"")</f>
        <v/>
      </c>
      <c r="O16" s="14">
        <f>IF(tblCalidadCalculada[[#This Row],[Estado de la medición]]="estimated",INDEX(tblCalidadFaltante[FDA estimada (%)],MATCH(tblCalidadCalculada[[#This Row],[Muestra]],tblCalidadFaltante[Muestra],0)),"")</f>
        <v/>
      </c>
      <c r="P16" s="14">
        <f>IF(tblCalidadCalculada[[#This Row],[Estado de la medición]]="estimated",INDEX(tblCalidadFaltante[FDN estimada (%)],MATCH(tblCalidadCalculada[[#This Row],[Muestra]],tblCalidadFaltante[Muestra],0)),"")</f>
        <v/>
      </c>
      <c r="Q16" s="14">
        <f>tblCalidadCalculada[[#This Row],[Biomasa informada enlazada (kg MS/ha)]]*tblCalidadCalculada[[#This Row],[Nitrógeno efectivo (%)]]/100</f>
        <v/>
      </c>
      <c r="R16" s="14">
        <f>4.8*(tblCalidadCalculada[[#This Row],[Biomasa informada enlazada (kg MS/ha)]]/1000)^(-0.32)</f>
        <v/>
      </c>
      <c r="S16" s="14">
        <f>tblCalidadCalculada[[#This Row],[Nitrógeno efectivo (%)]]/tblCalidadCalculada[[#This Row],[Concentración crítica de nitrógeno (%)]]</f>
        <v/>
      </c>
      <c r="T16" s="6" t="inlineStr">
        <is>
          <t>from_measured_quality</t>
        </is>
      </c>
    </row>
    <row r="17">
      <c r="A17" s="12" t="n">
        <v>13</v>
      </c>
      <c r="B17" s="13">
        <f>INDEX(tblCalidadRegistrada[Fecha],MATCH(tblCalidadCalculada[[#This Row],[Muestra]],tblCalidadRegistrada[Muestra],0))</f>
        <v/>
      </c>
      <c r="C17" s="6">
        <f>INDEX(tblCalidadRegistrada[Sector hídrico],MATCH(tblCalidadCalculada[[#This Row],[Muestra]],tblCalidadRegistrada[Muestra],0))</f>
        <v/>
      </c>
      <c r="D17" s="6">
        <f>INDEX(tblCalidadRegistrada[Tratamiento],MATCH(tblCalidadCalculada[[#This Row],[Muestra]],tblCalidadRegistrada[Muestra],0))</f>
        <v/>
      </c>
      <c r="E17" s="6">
        <f>INDEX(tblCalidadRegistrada[Bloque],MATCH(tblCalidadCalculada[[#This Row],[Muestra]],tblCalidadRegistrada[Muestra],0))</f>
        <v/>
      </c>
      <c r="F17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7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7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7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7" s="6">
        <f>INDEX(tblCalidadRegistrada[Estado de la medición],MATCH(tblCalidadCalculada[[#This Row],[Muestra]],tblCalidadRegistrada[Muestra],0))</f>
        <v/>
      </c>
      <c r="K17" s="6">
        <f>INDEX(tblCalidadRegistrada[Origen del dato],MATCH(tblCalidadCalculada[[#This Row],[Muestra]],tblCalidadRegistrada[Muestra],0))</f>
        <v/>
      </c>
      <c r="L17" s="14">
        <f>INDEX(tblMSCalculada[Biomasa informada en el libro histórico (kg MS/ha)],MATCH(tblCalidadCalculada[[#This Row],[Muestra]],tblMSCalculada[Muestra],0))</f>
        <v/>
      </c>
      <c r="M17" s="14">
        <f>IF(tblCalidadCalculada[[#This Row],[Nitrógeno medido (%)]]="",tblCalidadCalculada[[#This Row],[Nitrógeno estimado (%)]],tblCalidadCalculada[[#This Row],[Nitrógeno medido (%)]])</f>
        <v/>
      </c>
      <c r="N17" s="14">
        <f>IF(tblCalidadCalculada[[#This Row],[Estado de la medición]]="estimated",INDEX(tblCalidadFaltante[Nitrógeno estimado (%)],MATCH(tblCalidadCalculada[[#This Row],[Muestra]],tblCalidadFaltante[Muestra],0)),"")</f>
        <v/>
      </c>
      <c r="O17" s="14">
        <f>IF(tblCalidadCalculada[[#This Row],[Estado de la medición]]="estimated",INDEX(tblCalidadFaltante[FDA estimada (%)],MATCH(tblCalidadCalculada[[#This Row],[Muestra]],tblCalidadFaltante[Muestra],0)),"")</f>
        <v/>
      </c>
      <c r="P17" s="14">
        <f>IF(tblCalidadCalculada[[#This Row],[Estado de la medición]]="estimated",INDEX(tblCalidadFaltante[FDN estimada (%)],MATCH(tblCalidadCalculada[[#This Row],[Muestra]],tblCalidadFaltante[Muestra],0)),"")</f>
        <v/>
      </c>
      <c r="Q17" s="14">
        <f>tblCalidadCalculada[[#This Row],[Biomasa informada enlazada (kg MS/ha)]]*tblCalidadCalculada[[#This Row],[Nitrógeno efectivo (%)]]/100</f>
        <v/>
      </c>
      <c r="R17" s="14">
        <f>4.8*(tblCalidadCalculada[[#This Row],[Biomasa informada enlazada (kg MS/ha)]]/1000)^(-0.32)</f>
        <v/>
      </c>
      <c r="S17" s="14">
        <f>tblCalidadCalculada[[#This Row],[Nitrógeno efectivo (%)]]/tblCalidadCalculada[[#This Row],[Concentración crítica de nitrógeno (%)]]</f>
        <v/>
      </c>
      <c r="T17" s="6" t="inlineStr">
        <is>
          <t>from_measured_quality</t>
        </is>
      </c>
    </row>
    <row r="18">
      <c r="A18" s="12" t="n">
        <v>14</v>
      </c>
      <c r="B18" s="13">
        <f>INDEX(tblCalidadRegistrada[Fecha],MATCH(tblCalidadCalculada[[#This Row],[Muestra]],tblCalidadRegistrada[Muestra],0))</f>
        <v/>
      </c>
      <c r="C18" s="6">
        <f>INDEX(tblCalidadRegistrada[Sector hídrico],MATCH(tblCalidadCalculada[[#This Row],[Muestra]],tblCalidadRegistrada[Muestra],0))</f>
        <v/>
      </c>
      <c r="D18" s="6">
        <f>INDEX(tblCalidadRegistrada[Tratamiento],MATCH(tblCalidadCalculada[[#This Row],[Muestra]],tblCalidadRegistrada[Muestra],0))</f>
        <v/>
      </c>
      <c r="E18" s="6">
        <f>INDEX(tblCalidadRegistrada[Bloque],MATCH(tblCalidadCalculada[[#This Row],[Muestra]],tblCalidadRegistrada[Muestra],0))</f>
        <v/>
      </c>
      <c r="F18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8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8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8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8" s="6">
        <f>INDEX(tblCalidadRegistrada[Estado de la medición],MATCH(tblCalidadCalculada[[#This Row],[Muestra]],tblCalidadRegistrada[Muestra],0))</f>
        <v/>
      </c>
      <c r="K18" s="6">
        <f>INDEX(tblCalidadRegistrada[Origen del dato],MATCH(tblCalidadCalculada[[#This Row],[Muestra]],tblCalidadRegistrada[Muestra],0))</f>
        <v/>
      </c>
      <c r="L18" s="14">
        <f>INDEX(tblMSCalculada[Biomasa informada en el libro histórico (kg MS/ha)],MATCH(tblCalidadCalculada[[#This Row],[Muestra]],tblMSCalculada[Muestra],0))</f>
        <v/>
      </c>
      <c r="M18" s="14">
        <f>IF(tblCalidadCalculada[[#This Row],[Nitrógeno medido (%)]]="",tblCalidadCalculada[[#This Row],[Nitrógeno estimado (%)]],tblCalidadCalculada[[#This Row],[Nitrógeno medido (%)]])</f>
        <v/>
      </c>
      <c r="N18" s="14">
        <f>IF(tblCalidadCalculada[[#This Row],[Estado de la medición]]="estimated",INDEX(tblCalidadFaltante[Nitrógeno estimado (%)],MATCH(tblCalidadCalculada[[#This Row],[Muestra]],tblCalidadFaltante[Muestra],0)),"")</f>
        <v/>
      </c>
      <c r="O18" s="14">
        <f>IF(tblCalidadCalculada[[#This Row],[Estado de la medición]]="estimated",INDEX(tblCalidadFaltante[FDA estimada (%)],MATCH(tblCalidadCalculada[[#This Row],[Muestra]],tblCalidadFaltante[Muestra],0)),"")</f>
        <v/>
      </c>
      <c r="P18" s="14">
        <f>IF(tblCalidadCalculada[[#This Row],[Estado de la medición]]="estimated",INDEX(tblCalidadFaltante[FDN estimada (%)],MATCH(tblCalidadCalculada[[#This Row],[Muestra]],tblCalidadFaltante[Muestra],0)),"")</f>
        <v/>
      </c>
      <c r="Q18" s="14">
        <f>tblCalidadCalculada[[#This Row],[Biomasa informada enlazada (kg MS/ha)]]*tblCalidadCalculada[[#This Row],[Nitrógeno efectivo (%)]]/100</f>
        <v/>
      </c>
      <c r="R18" s="14">
        <f>4.8*(tblCalidadCalculada[[#This Row],[Biomasa informada enlazada (kg MS/ha)]]/1000)^(-0.32)</f>
        <v/>
      </c>
      <c r="S18" s="14">
        <f>tblCalidadCalculada[[#This Row],[Nitrógeno efectivo (%)]]/tblCalidadCalculada[[#This Row],[Concentración crítica de nitrógeno (%)]]</f>
        <v/>
      </c>
      <c r="T18" s="6" t="inlineStr">
        <is>
          <t>from_measured_quality</t>
        </is>
      </c>
    </row>
    <row r="19">
      <c r="A19" s="12" t="n">
        <v>15</v>
      </c>
      <c r="B19" s="13">
        <f>INDEX(tblCalidadRegistrada[Fecha],MATCH(tblCalidadCalculada[[#This Row],[Muestra]],tblCalidadRegistrada[Muestra],0))</f>
        <v/>
      </c>
      <c r="C19" s="6">
        <f>INDEX(tblCalidadRegistrada[Sector hídrico],MATCH(tblCalidadCalculada[[#This Row],[Muestra]],tblCalidadRegistrada[Muestra],0))</f>
        <v/>
      </c>
      <c r="D19" s="6">
        <f>INDEX(tblCalidadRegistrada[Tratamiento],MATCH(tblCalidadCalculada[[#This Row],[Muestra]],tblCalidadRegistrada[Muestra],0))</f>
        <v/>
      </c>
      <c r="E19" s="6">
        <f>INDEX(tblCalidadRegistrada[Bloque],MATCH(tblCalidadCalculada[[#This Row],[Muestra]],tblCalidadRegistrada[Muestra],0))</f>
        <v/>
      </c>
      <c r="F19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9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9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9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9" s="6">
        <f>INDEX(tblCalidadRegistrada[Estado de la medición],MATCH(tblCalidadCalculada[[#This Row],[Muestra]],tblCalidadRegistrada[Muestra],0))</f>
        <v/>
      </c>
      <c r="K19" s="6">
        <f>INDEX(tblCalidadRegistrada[Origen del dato],MATCH(tblCalidadCalculada[[#This Row],[Muestra]],tblCalidadRegistrada[Muestra],0))</f>
        <v/>
      </c>
      <c r="L19" s="14">
        <f>INDEX(tblMSCalculada[Biomasa informada en el libro histórico (kg MS/ha)],MATCH(tblCalidadCalculada[[#This Row],[Muestra]],tblMSCalculada[Muestra],0))</f>
        <v/>
      </c>
      <c r="M19" s="14">
        <f>IF(tblCalidadCalculada[[#This Row],[Nitrógeno medido (%)]]="",tblCalidadCalculada[[#This Row],[Nitrógeno estimado (%)]],tblCalidadCalculada[[#This Row],[Nitrógeno medido (%)]])</f>
        <v/>
      </c>
      <c r="N19" s="14">
        <f>IF(tblCalidadCalculada[[#This Row],[Estado de la medición]]="estimated",INDEX(tblCalidadFaltante[Nitrógeno estimado (%)],MATCH(tblCalidadCalculada[[#This Row],[Muestra]],tblCalidadFaltante[Muestra],0)),"")</f>
        <v/>
      </c>
      <c r="O19" s="14">
        <f>IF(tblCalidadCalculada[[#This Row],[Estado de la medición]]="estimated",INDEX(tblCalidadFaltante[FDA estimada (%)],MATCH(tblCalidadCalculada[[#This Row],[Muestra]],tblCalidadFaltante[Muestra],0)),"")</f>
        <v/>
      </c>
      <c r="P19" s="14">
        <f>IF(tblCalidadCalculada[[#This Row],[Estado de la medición]]="estimated",INDEX(tblCalidadFaltante[FDN estimada (%)],MATCH(tblCalidadCalculada[[#This Row],[Muestra]],tblCalidadFaltante[Muestra],0)),"")</f>
        <v/>
      </c>
      <c r="Q19" s="14">
        <f>tblCalidadCalculada[[#This Row],[Biomasa informada enlazada (kg MS/ha)]]*tblCalidadCalculada[[#This Row],[Nitrógeno efectivo (%)]]/100</f>
        <v/>
      </c>
      <c r="R19" s="14">
        <f>4.8*(tblCalidadCalculada[[#This Row],[Biomasa informada enlazada (kg MS/ha)]]/1000)^(-0.32)</f>
        <v/>
      </c>
      <c r="S19" s="14">
        <f>tblCalidadCalculada[[#This Row],[Nitrógeno efectivo (%)]]/tblCalidadCalculada[[#This Row],[Concentración crítica de nitrógeno (%)]]</f>
        <v/>
      </c>
      <c r="T19" s="6" t="inlineStr">
        <is>
          <t>from_measured_quality</t>
        </is>
      </c>
    </row>
    <row r="20">
      <c r="A20" s="12" t="n">
        <v>16</v>
      </c>
      <c r="B20" s="13">
        <f>INDEX(tblCalidadRegistrada[Fecha],MATCH(tblCalidadCalculada[[#This Row],[Muestra]],tblCalidadRegistrada[Muestra],0))</f>
        <v/>
      </c>
      <c r="C20" s="6">
        <f>INDEX(tblCalidadRegistrada[Sector hídrico],MATCH(tblCalidadCalculada[[#This Row],[Muestra]],tblCalidadRegistrada[Muestra],0))</f>
        <v/>
      </c>
      <c r="D20" s="6">
        <f>INDEX(tblCalidadRegistrada[Tratamiento],MATCH(tblCalidadCalculada[[#This Row],[Muestra]],tblCalidadRegistrada[Muestra],0))</f>
        <v/>
      </c>
      <c r="E20" s="6">
        <f>INDEX(tblCalidadRegistrada[Bloque],MATCH(tblCalidadCalculada[[#This Row],[Muestra]],tblCalidadRegistrada[Muestra],0))</f>
        <v/>
      </c>
      <c r="F20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20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20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20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20" s="6">
        <f>INDEX(tblCalidadRegistrada[Estado de la medición],MATCH(tblCalidadCalculada[[#This Row],[Muestra]],tblCalidadRegistrada[Muestra],0))</f>
        <v/>
      </c>
      <c r="K20" s="6">
        <f>INDEX(tblCalidadRegistrada[Origen del dato],MATCH(tblCalidadCalculada[[#This Row],[Muestra]],tblCalidadRegistrada[Muestra],0))</f>
        <v/>
      </c>
      <c r="L20" s="14">
        <f>INDEX(tblMSCalculada[Biomasa informada en el libro histórico (kg MS/ha)],MATCH(tblCalidadCalculada[[#This Row],[Muestra]],tblMSCalculada[Muestra],0))</f>
        <v/>
      </c>
      <c r="M20" s="14">
        <f>IF(tblCalidadCalculada[[#This Row],[Nitrógeno medido (%)]]="",tblCalidadCalculada[[#This Row],[Nitrógeno estimado (%)]],tblCalidadCalculada[[#This Row],[Nitrógeno medido (%)]])</f>
        <v/>
      </c>
      <c r="N20" s="14">
        <f>IF(tblCalidadCalculada[[#This Row],[Estado de la medición]]="estimated",INDEX(tblCalidadFaltante[Nitrógeno estimado (%)],MATCH(tblCalidadCalculada[[#This Row],[Muestra]],tblCalidadFaltante[Muestra],0)),"")</f>
        <v/>
      </c>
      <c r="O20" s="14">
        <f>IF(tblCalidadCalculada[[#This Row],[Estado de la medición]]="estimated",INDEX(tblCalidadFaltante[FDA estimada (%)],MATCH(tblCalidadCalculada[[#This Row],[Muestra]],tblCalidadFaltante[Muestra],0)),"")</f>
        <v/>
      </c>
      <c r="P20" s="14">
        <f>IF(tblCalidadCalculada[[#This Row],[Estado de la medición]]="estimated",INDEX(tblCalidadFaltante[FDN estimada (%)],MATCH(tblCalidadCalculada[[#This Row],[Muestra]],tblCalidadFaltante[Muestra],0)),"")</f>
        <v/>
      </c>
      <c r="Q20" s="14">
        <f>tblCalidadCalculada[[#This Row],[Biomasa informada enlazada (kg MS/ha)]]*tblCalidadCalculada[[#This Row],[Nitrógeno efectivo (%)]]/100</f>
        <v/>
      </c>
      <c r="R20" s="14">
        <f>4.8*(tblCalidadCalculada[[#This Row],[Biomasa informada enlazada (kg MS/ha)]]/1000)^(-0.32)</f>
        <v/>
      </c>
      <c r="S20" s="14">
        <f>tblCalidadCalculada[[#This Row],[Nitrógeno efectivo (%)]]/tblCalidadCalculada[[#This Row],[Concentración crítica de nitrógeno (%)]]</f>
        <v/>
      </c>
      <c r="T20" s="6" t="inlineStr">
        <is>
          <t>from_measured_quality</t>
        </is>
      </c>
    </row>
    <row r="21">
      <c r="A21" s="12" t="n">
        <v>17</v>
      </c>
      <c r="B21" s="13">
        <f>INDEX(tblCalidadRegistrada[Fecha],MATCH(tblCalidadCalculada[[#This Row],[Muestra]],tblCalidadRegistrada[Muestra],0))</f>
        <v/>
      </c>
      <c r="C21" s="6">
        <f>INDEX(tblCalidadRegistrada[Sector hídrico],MATCH(tblCalidadCalculada[[#This Row],[Muestra]],tblCalidadRegistrada[Muestra],0))</f>
        <v/>
      </c>
      <c r="D21" s="6">
        <f>INDEX(tblCalidadRegistrada[Tratamiento],MATCH(tblCalidadCalculada[[#This Row],[Muestra]],tblCalidadRegistrada[Muestra],0))</f>
        <v/>
      </c>
      <c r="E21" s="6">
        <f>INDEX(tblCalidadRegistrada[Bloque],MATCH(tblCalidadCalculada[[#This Row],[Muestra]],tblCalidadRegistrada[Muestra],0))</f>
        <v/>
      </c>
      <c r="F21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21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21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21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21" s="6">
        <f>INDEX(tblCalidadRegistrada[Estado de la medición],MATCH(tblCalidadCalculada[[#This Row],[Muestra]],tblCalidadRegistrada[Muestra],0))</f>
        <v/>
      </c>
      <c r="K21" s="6">
        <f>INDEX(tblCalidadRegistrada[Origen del dato],MATCH(tblCalidadCalculada[[#This Row],[Muestra]],tblCalidadRegistrada[Muestra],0))</f>
        <v/>
      </c>
      <c r="L21" s="14">
        <f>INDEX(tblMSCalculada[Biomasa informada en el libro histórico (kg MS/ha)],MATCH(tblCalidadCalculada[[#This Row],[Muestra]],tblMSCalculada[Muestra],0))</f>
        <v/>
      </c>
      <c r="M21" s="14">
        <f>IF(tblCalidadCalculada[[#This Row],[Nitrógeno medido (%)]]="",tblCalidadCalculada[[#This Row],[Nitrógeno estimado (%)]],tblCalidadCalculada[[#This Row],[Nitrógeno medido (%)]])</f>
        <v/>
      </c>
      <c r="N21" s="14">
        <f>IF(tblCalidadCalculada[[#This Row],[Estado de la medición]]="estimated",INDEX(tblCalidadFaltante[Nitrógeno estimado (%)],MATCH(tblCalidadCalculada[[#This Row],[Muestra]],tblCalidadFaltante[Muestra],0)),"")</f>
        <v/>
      </c>
      <c r="O21" s="14">
        <f>IF(tblCalidadCalculada[[#This Row],[Estado de la medición]]="estimated",INDEX(tblCalidadFaltante[FDA estimada (%)],MATCH(tblCalidadCalculada[[#This Row],[Muestra]],tblCalidadFaltante[Muestra],0)),"")</f>
        <v/>
      </c>
      <c r="P21" s="14">
        <f>IF(tblCalidadCalculada[[#This Row],[Estado de la medición]]="estimated",INDEX(tblCalidadFaltante[FDN estimada (%)],MATCH(tblCalidadCalculada[[#This Row],[Muestra]],tblCalidadFaltante[Muestra],0)),"")</f>
        <v/>
      </c>
      <c r="Q21" s="14">
        <f>tblCalidadCalculada[[#This Row],[Biomasa informada enlazada (kg MS/ha)]]*tblCalidadCalculada[[#This Row],[Nitrógeno efectivo (%)]]/100</f>
        <v/>
      </c>
      <c r="R21" s="14">
        <f>4.8*(tblCalidadCalculada[[#This Row],[Biomasa informada enlazada (kg MS/ha)]]/1000)^(-0.32)</f>
        <v/>
      </c>
      <c r="S21" s="14">
        <f>tblCalidadCalculada[[#This Row],[Nitrógeno efectivo (%)]]/tblCalidadCalculada[[#This Row],[Concentración crítica de nitrógeno (%)]]</f>
        <v/>
      </c>
      <c r="T21" s="6" t="inlineStr">
        <is>
          <t>from_measured_quality</t>
        </is>
      </c>
    </row>
    <row r="22">
      <c r="A22" s="12" t="n">
        <v>18</v>
      </c>
      <c r="B22" s="13">
        <f>INDEX(tblCalidadRegistrada[Fecha],MATCH(tblCalidadCalculada[[#This Row],[Muestra]],tblCalidadRegistrada[Muestra],0))</f>
        <v/>
      </c>
      <c r="C22" s="6">
        <f>INDEX(tblCalidadRegistrada[Sector hídrico],MATCH(tblCalidadCalculada[[#This Row],[Muestra]],tblCalidadRegistrada[Muestra],0))</f>
        <v/>
      </c>
      <c r="D22" s="6">
        <f>INDEX(tblCalidadRegistrada[Tratamiento],MATCH(tblCalidadCalculada[[#This Row],[Muestra]],tblCalidadRegistrada[Muestra],0))</f>
        <v/>
      </c>
      <c r="E22" s="6">
        <f>INDEX(tblCalidadRegistrada[Bloque],MATCH(tblCalidadCalculada[[#This Row],[Muestra]],tblCalidadRegistrada[Muestra],0))</f>
        <v/>
      </c>
      <c r="F22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22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22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22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22" s="6">
        <f>INDEX(tblCalidadRegistrada[Estado de la medición],MATCH(tblCalidadCalculada[[#This Row],[Muestra]],tblCalidadRegistrada[Muestra],0))</f>
        <v/>
      </c>
      <c r="K22" s="6">
        <f>INDEX(tblCalidadRegistrada[Origen del dato],MATCH(tblCalidadCalculada[[#This Row],[Muestra]],tblCalidadRegistrada[Muestra],0))</f>
        <v/>
      </c>
      <c r="L22" s="14">
        <f>INDEX(tblMSCalculada[Biomasa informada en el libro histórico (kg MS/ha)],MATCH(tblCalidadCalculada[[#This Row],[Muestra]],tblMSCalculada[Muestra],0))</f>
        <v/>
      </c>
      <c r="M22" s="14">
        <f>IF(tblCalidadCalculada[[#This Row],[Nitrógeno medido (%)]]="",tblCalidadCalculada[[#This Row],[Nitrógeno estimado (%)]],tblCalidadCalculada[[#This Row],[Nitrógeno medido (%)]])</f>
        <v/>
      </c>
      <c r="N22" s="14">
        <f>IF(tblCalidadCalculada[[#This Row],[Estado de la medición]]="estimated",INDEX(tblCalidadFaltante[Nitrógeno estimado (%)],MATCH(tblCalidadCalculada[[#This Row],[Muestra]],tblCalidadFaltante[Muestra],0)),"")</f>
        <v/>
      </c>
      <c r="O22" s="14">
        <f>IF(tblCalidadCalculada[[#This Row],[Estado de la medición]]="estimated",INDEX(tblCalidadFaltante[FDA estimada (%)],MATCH(tblCalidadCalculada[[#This Row],[Muestra]],tblCalidadFaltante[Muestra],0)),"")</f>
        <v/>
      </c>
      <c r="P22" s="14">
        <f>IF(tblCalidadCalculada[[#This Row],[Estado de la medición]]="estimated",INDEX(tblCalidadFaltante[FDN estimada (%)],MATCH(tblCalidadCalculada[[#This Row],[Muestra]],tblCalidadFaltante[Muestra],0)),"")</f>
        <v/>
      </c>
      <c r="Q22" s="14">
        <f>tblCalidadCalculada[[#This Row],[Biomasa informada enlazada (kg MS/ha)]]*tblCalidadCalculada[[#This Row],[Nitrógeno efectivo (%)]]/100</f>
        <v/>
      </c>
      <c r="R22" s="14">
        <f>4.8*(tblCalidadCalculada[[#This Row],[Biomasa informada enlazada (kg MS/ha)]]/1000)^(-0.32)</f>
        <v/>
      </c>
      <c r="S22" s="14">
        <f>tblCalidadCalculada[[#This Row],[Nitrógeno efectivo (%)]]/tblCalidadCalculada[[#This Row],[Concentración crítica de nitrógeno (%)]]</f>
        <v/>
      </c>
      <c r="T22" s="6" t="inlineStr">
        <is>
          <t>from_measured_quality</t>
        </is>
      </c>
    </row>
    <row r="23">
      <c r="A23" s="12" t="n">
        <v>19</v>
      </c>
      <c r="B23" s="13">
        <f>INDEX(tblCalidadRegistrada[Fecha],MATCH(tblCalidadCalculada[[#This Row],[Muestra]],tblCalidadRegistrada[Muestra],0))</f>
        <v/>
      </c>
      <c r="C23" s="6">
        <f>INDEX(tblCalidadRegistrada[Sector hídrico],MATCH(tblCalidadCalculada[[#This Row],[Muestra]],tblCalidadRegistrada[Muestra],0))</f>
        <v/>
      </c>
      <c r="D23" s="6">
        <f>INDEX(tblCalidadRegistrada[Tratamiento],MATCH(tblCalidadCalculada[[#This Row],[Muestra]],tblCalidadRegistrada[Muestra],0))</f>
        <v/>
      </c>
      <c r="E23" s="6">
        <f>INDEX(tblCalidadRegistrada[Bloque],MATCH(tblCalidadCalculada[[#This Row],[Muestra]],tblCalidadRegistrada[Muestra],0))</f>
        <v/>
      </c>
      <c r="F23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23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23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23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23" s="6">
        <f>INDEX(tblCalidadRegistrada[Estado de la medición],MATCH(tblCalidadCalculada[[#This Row],[Muestra]],tblCalidadRegistrada[Muestra],0))</f>
        <v/>
      </c>
      <c r="K23" s="6">
        <f>INDEX(tblCalidadRegistrada[Origen del dato],MATCH(tblCalidadCalculada[[#This Row],[Muestra]],tblCalidadRegistrada[Muestra],0))</f>
        <v/>
      </c>
      <c r="L23" s="14">
        <f>INDEX(tblMSCalculada[Biomasa informada en el libro histórico (kg MS/ha)],MATCH(tblCalidadCalculada[[#This Row],[Muestra]],tblMSCalculada[Muestra],0))</f>
        <v/>
      </c>
      <c r="M23" s="14">
        <f>IF(tblCalidadCalculada[[#This Row],[Nitrógeno medido (%)]]="",tblCalidadCalculada[[#This Row],[Nitrógeno estimado (%)]],tblCalidadCalculada[[#This Row],[Nitrógeno medido (%)]])</f>
        <v/>
      </c>
      <c r="N23" s="14">
        <f>IF(tblCalidadCalculada[[#This Row],[Estado de la medición]]="estimated",INDEX(tblCalidadFaltante[Nitrógeno estimado (%)],MATCH(tblCalidadCalculada[[#This Row],[Muestra]],tblCalidadFaltante[Muestra],0)),"")</f>
        <v/>
      </c>
      <c r="O23" s="14">
        <f>IF(tblCalidadCalculada[[#This Row],[Estado de la medición]]="estimated",INDEX(tblCalidadFaltante[FDA estimada (%)],MATCH(tblCalidadCalculada[[#This Row],[Muestra]],tblCalidadFaltante[Muestra],0)),"")</f>
        <v/>
      </c>
      <c r="P23" s="14">
        <f>IF(tblCalidadCalculada[[#This Row],[Estado de la medición]]="estimated",INDEX(tblCalidadFaltante[FDN estimada (%)],MATCH(tblCalidadCalculada[[#This Row],[Muestra]],tblCalidadFaltante[Muestra],0)),"")</f>
        <v/>
      </c>
      <c r="Q23" s="14">
        <f>tblCalidadCalculada[[#This Row],[Biomasa informada enlazada (kg MS/ha)]]*tblCalidadCalculada[[#This Row],[Nitrógeno efectivo (%)]]/100</f>
        <v/>
      </c>
      <c r="R23" s="14">
        <f>4.8*(tblCalidadCalculada[[#This Row],[Biomasa informada enlazada (kg MS/ha)]]/1000)^(-0.32)</f>
        <v/>
      </c>
      <c r="S23" s="14">
        <f>tblCalidadCalculada[[#This Row],[Nitrógeno efectivo (%)]]/tblCalidadCalculada[[#This Row],[Concentración crítica de nitrógeno (%)]]</f>
        <v/>
      </c>
      <c r="T23" s="6" t="inlineStr">
        <is>
          <t>from_measured_quality</t>
        </is>
      </c>
    </row>
    <row r="24">
      <c r="A24" s="12" t="n">
        <v>20</v>
      </c>
      <c r="B24" s="13">
        <f>INDEX(tblCalidadRegistrada[Fecha],MATCH(tblCalidadCalculada[[#This Row],[Muestra]],tblCalidadRegistrada[Muestra],0))</f>
        <v/>
      </c>
      <c r="C24" s="6">
        <f>INDEX(tblCalidadRegistrada[Sector hídrico],MATCH(tblCalidadCalculada[[#This Row],[Muestra]],tblCalidadRegistrada[Muestra],0))</f>
        <v/>
      </c>
      <c r="D24" s="6">
        <f>INDEX(tblCalidadRegistrada[Tratamiento],MATCH(tblCalidadCalculada[[#This Row],[Muestra]],tblCalidadRegistrada[Muestra],0))</f>
        <v/>
      </c>
      <c r="E24" s="6">
        <f>INDEX(tblCalidadRegistrada[Bloque],MATCH(tblCalidadCalculada[[#This Row],[Muestra]],tblCalidadRegistrada[Muestra],0))</f>
        <v/>
      </c>
      <c r="F24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24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24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24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24" s="6">
        <f>INDEX(tblCalidadRegistrada[Estado de la medición],MATCH(tblCalidadCalculada[[#This Row],[Muestra]],tblCalidadRegistrada[Muestra],0))</f>
        <v/>
      </c>
      <c r="K24" s="6">
        <f>INDEX(tblCalidadRegistrada[Origen del dato],MATCH(tblCalidadCalculada[[#This Row],[Muestra]],tblCalidadRegistrada[Muestra],0))</f>
        <v/>
      </c>
      <c r="L24" s="14">
        <f>INDEX(tblMSCalculada[Biomasa informada en el libro histórico (kg MS/ha)],MATCH(tblCalidadCalculada[[#This Row],[Muestra]],tblMSCalculada[Muestra],0))</f>
        <v/>
      </c>
      <c r="M24" s="14">
        <f>IF(tblCalidadCalculada[[#This Row],[Nitrógeno medido (%)]]="",tblCalidadCalculada[[#This Row],[Nitrógeno estimado (%)]],tblCalidadCalculada[[#This Row],[Nitrógeno medido (%)]])</f>
        <v/>
      </c>
      <c r="N24" s="14">
        <f>IF(tblCalidadCalculada[[#This Row],[Estado de la medición]]="estimated",INDEX(tblCalidadFaltante[Nitrógeno estimado (%)],MATCH(tblCalidadCalculada[[#This Row],[Muestra]],tblCalidadFaltante[Muestra],0)),"")</f>
        <v/>
      </c>
      <c r="O24" s="14">
        <f>IF(tblCalidadCalculada[[#This Row],[Estado de la medición]]="estimated",INDEX(tblCalidadFaltante[FDA estimada (%)],MATCH(tblCalidadCalculada[[#This Row],[Muestra]],tblCalidadFaltante[Muestra],0)),"")</f>
        <v/>
      </c>
      <c r="P24" s="14">
        <f>IF(tblCalidadCalculada[[#This Row],[Estado de la medición]]="estimated",INDEX(tblCalidadFaltante[FDN estimada (%)],MATCH(tblCalidadCalculada[[#This Row],[Muestra]],tblCalidadFaltante[Muestra],0)),"")</f>
        <v/>
      </c>
      <c r="Q24" s="14">
        <f>tblCalidadCalculada[[#This Row],[Biomasa informada enlazada (kg MS/ha)]]*tblCalidadCalculada[[#This Row],[Nitrógeno efectivo (%)]]/100</f>
        <v/>
      </c>
      <c r="R24" s="14">
        <f>4.8*(tblCalidadCalculada[[#This Row],[Biomasa informada enlazada (kg MS/ha)]]/1000)^(-0.32)</f>
        <v/>
      </c>
      <c r="S24" s="14">
        <f>tblCalidadCalculada[[#This Row],[Nitrógeno efectivo (%)]]/tblCalidadCalculada[[#This Row],[Concentración crítica de nitrógeno (%)]]</f>
        <v/>
      </c>
      <c r="T24" s="6" t="inlineStr">
        <is>
          <t>from_measured_quality</t>
        </is>
      </c>
    </row>
    <row r="25">
      <c r="A25" s="12" t="n">
        <v>21</v>
      </c>
      <c r="B25" s="13">
        <f>INDEX(tblCalidadRegistrada[Fecha],MATCH(tblCalidadCalculada[[#This Row],[Muestra]],tblCalidadRegistrada[Muestra],0))</f>
        <v/>
      </c>
      <c r="C25" s="6">
        <f>INDEX(tblCalidadRegistrada[Sector hídrico],MATCH(tblCalidadCalculada[[#This Row],[Muestra]],tblCalidadRegistrada[Muestra],0))</f>
        <v/>
      </c>
      <c r="D25" s="6">
        <f>INDEX(tblCalidadRegistrada[Tratamiento],MATCH(tblCalidadCalculada[[#This Row],[Muestra]],tblCalidadRegistrada[Muestra],0))</f>
        <v/>
      </c>
      <c r="E25" s="6">
        <f>INDEX(tblCalidadRegistrada[Bloque],MATCH(tblCalidadCalculada[[#This Row],[Muestra]],tblCalidadRegistrada[Muestra],0))</f>
        <v/>
      </c>
      <c r="F25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25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25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25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25" s="6">
        <f>INDEX(tblCalidadRegistrada[Estado de la medición],MATCH(tblCalidadCalculada[[#This Row],[Muestra]],tblCalidadRegistrada[Muestra],0))</f>
        <v/>
      </c>
      <c r="K25" s="6">
        <f>INDEX(tblCalidadRegistrada[Origen del dato],MATCH(tblCalidadCalculada[[#This Row],[Muestra]],tblCalidadRegistrada[Muestra],0))</f>
        <v/>
      </c>
      <c r="L25" s="14">
        <f>INDEX(tblMSCalculada[Biomasa informada en el libro histórico (kg MS/ha)],MATCH(tblCalidadCalculada[[#This Row],[Muestra]],tblMSCalculada[Muestra],0))</f>
        <v/>
      </c>
      <c r="M25" s="14">
        <f>IF(tblCalidadCalculada[[#This Row],[Nitrógeno medido (%)]]="",tblCalidadCalculada[[#This Row],[Nitrógeno estimado (%)]],tblCalidadCalculada[[#This Row],[Nitrógeno medido (%)]])</f>
        <v/>
      </c>
      <c r="N25" s="14">
        <f>IF(tblCalidadCalculada[[#This Row],[Estado de la medición]]="estimated",INDEX(tblCalidadFaltante[Nitrógeno estimado (%)],MATCH(tblCalidadCalculada[[#This Row],[Muestra]],tblCalidadFaltante[Muestra],0)),"")</f>
        <v/>
      </c>
      <c r="O25" s="14">
        <f>IF(tblCalidadCalculada[[#This Row],[Estado de la medición]]="estimated",INDEX(tblCalidadFaltante[FDA estimada (%)],MATCH(tblCalidadCalculada[[#This Row],[Muestra]],tblCalidadFaltante[Muestra],0)),"")</f>
        <v/>
      </c>
      <c r="P25" s="14">
        <f>IF(tblCalidadCalculada[[#This Row],[Estado de la medición]]="estimated",INDEX(tblCalidadFaltante[FDN estimada (%)],MATCH(tblCalidadCalculada[[#This Row],[Muestra]],tblCalidadFaltante[Muestra],0)),"")</f>
        <v/>
      </c>
      <c r="Q25" s="14">
        <f>tblCalidadCalculada[[#This Row],[Biomasa informada enlazada (kg MS/ha)]]*tblCalidadCalculada[[#This Row],[Nitrógeno efectivo (%)]]/100</f>
        <v/>
      </c>
      <c r="R25" s="14">
        <f>4.8*(tblCalidadCalculada[[#This Row],[Biomasa informada enlazada (kg MS/ha)]]/1000)^(-0.32)</f>
        <v/>
      </c>
      <c r="S25" s="14">
        <f>tblCalidadCalculada[[#This Row],[Nitrógeno efectivo (%)]]/tblCalidadCalculada[[#This Row],[Concentración crítica de nitrógeno (%)]]</f>
        <v/>
      </c>
      <c r="T25" s="6" t="inlineStr">
        <is>
          <t>from_measured_quality</t>
        </is>
      </c>
    </row>
    <row r="26">
      <c r="A26" s="12" t="n">
        <v>22</v>
      </c>
      <c r="B26" s="13">
        <f>INDEX(tblCalidadRegistrada[Fecha],MATCH(tblCalidadCalculada[[#This Row],[Muestra]],tblCalidadRegistrada[Muestra],0))</f>
        <v/>
      </c>
      <c r="C26" s="6">
        <f>INDEX(tblCalidadRegistrada[Sector hídrico],MATCH(tblCalidadCalculada[[#This Row],[Muestra]],tblCalidadRegistrada[Muestra],0))</f>
        <v/>
      </c>
      <c r="D26" s="6">
        <f>INDEX(tblCalidadRegistrada[Tratamiento],MATCH(tblCalidadCalculada[[#This Row],[Muestra]],tblCalidadRegistrada[Muestra],0))</f>
        <v/>
      </c>
      <c r="E26" s="6">
        <f>INDEX(tblCalidadRegistrada[Bloque],MATCH(tblCalidadCalculada[[#This Row],[Muestra]],tblCalidadRegistrada[Muestra],0))</f>
        <v/>
      </c>
      <c r="F26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26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26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26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26" s="6">
        <f>INDEX(tblCalidadRegistrada[Estado de la medición],MATCH(tblCalidadCalculada[[#This Row],[Muestra]],tblCalidadRegistrada[Muestra],0))</f>
        <v/>
      </c>
      <c r="K26" s="6">
        <f>INDEX(tblCalidadRegistrada[Origen del dato],MATCH(tblCalidadCalculada[[#This Row],[Muestra]],tblCalidadRegistrada[Muestra],0))</f>
        <v/>
      </c>
      <c r="L26" s="14">
        <f>INDEX(tblMSCalculada[Biomasa informada en el libro histórico (kg MS/ha)],MATCH(tblCalidadCalculada[[#This Row],[Muestra]],tblMSCalculada[Muestra],0))</f>
        <v/>
      </c>
      <c r="M26" s="14">
        <f>IF(tblCalidadCalculada[[#This Row],[Nitrógeno medido (%)]]="",tblCalidadCalculada[[#This Row],[Nitrógeno estimado (%)]],tblCalidadCalculada[[#This Row],[Nitrógeno medido (%)]])</f>
        <v/>
      </c>
      <c r="N26" s="14">
        <f>IF(tblCalidadCalculada[[#This Row],[Estado de la medición]]="estimated",INDEX(tblCalidadFaltante[Nitrógeno estimado (%)],MATCH(tblCalidadCalculada[[#This Row],[Muestra]],tblCalidadFaltante[Muestra],0)),"")</f>
        <v/>
      </c>
      <c r="O26" s="14">
        <f>IF(tblCalidadCalculada[[#This Row],[Estado de la medición]]="estimated",INDEX(tblCalidadFaltante[FDA estimada (%)],MATCH(tblCalidadCalculada[[#This Row],[Muestra]],tblCalidadFaltante[Muestra],0)),"")</f>
        <v/>
      </c>
      <c r="P26" s="14">
        <f>IF(tblCalidadCalculada[[#This Row],[Estado de la medición]]="estimated",INDEX(tblCalidadFaltante[FDN estimada (%)],MATCH(tblCalidadCalculada[[#This Row],[Muestra]],tblCalidadFaltante[Muestra],0)),"")</f>
        <v/>
      </c>
      <c r="Q26" s="14">
        <f>tblCalidadCalculada[[#This Row],[Biomasa informada enlazada (kg MS/ha)]]*tblCalidadCalculada[[#This Row],[Nitrógeno efectivo (%)]]/100</f>
        <v/>
      </c>
      <c r="R26" s="14">
        <f>4.8*(tblCalidadCalculada[[#This Row],[Biomasa informada enlazada (kg MS/ha)]]/1000)^(-0.32)</f>
        <v/>
      </c>
      <c r="S26" s="14">
        <f>tblCalidadCalculada[[#This Row],[Nitrógeno efectivo (%)]]/tblCalidadCalculada[[#This Row],[Concentración crítica de nitrógeno (%)]]</f>
        <v/>
      </c>
      <c r="T26" s="6" t="inlineStr">
        <is>
          <t>from_measured_quality</t>
        </is>
      </c>
    </row>
    <row r="27">
      <c r="A27" s="12" t="n">
        <v>23</v>
      </c>
      <c r="B27" s="13">
        <f>INDEX(tblCalidadRegistrada[Fecha],MATCH(tblCalidadCalculada[[#This Row],[Muestra]],tblCalidadRegistrada[Muestra],0))</f>
        <v/>
      </c>
      <c r="C27" s="6">
        <f>INDEX(tblCalidadRegistrada[Sector hídrico],MATCH(tblCalidadCalculada[[#This Row],[Muestra]],tblCalidadRegistrada[Muestra],0))</f>
        <v/>
      </c>
      <c r="D27" s="6">
        <f>INDEX(tblCalidadRegistrada[Tratamiento],MATCH(tblCalidadCalculada[[#This Row],[Muestra]],tblCalidadRegistrada[Muestra],0))</f>
        <v/>
      </c>
      <c r="E27" s="6">
        <f>INDEX(tblCalidadRegistrada[Bloque],MATCH(tblCalidadCalculada[[#This Row],[Muestra]],tblCalidadRegistrada[Muestra],0))</f>
        <v/>
      </c>
      <c r="F27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27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27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27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27" s="6">
        <f>INDEX(tblCalidadRegistrada[Estado de la medición],MATCH(tblCalidadCalculada[[#This Row],[Muestra]],tblCalidadRegistrada[Muestra],0))</f>
        <v/>
      </c>
      <c r="K27" s="6">
        <f>INDEX(tblCalidadRegistrada[Origen del dato],MATCH(tblCalidadCalculada[[#This Row],[Muestra]],tblCalidadRegistrada[Muestra],0))</f>
        <v/>
      </c>
      <c r="L27" s="14">
        <f>INDEX(tblMSCalculada[Biomasa informada en el libro histórico (kg MS/ha)],MATCH(tblCalidadCalculada[[#This Row],[Muestra]],tblMSCalculada[Muestra],0))</f>
        <v/>
      </c>
      <c r="M27" s="14">
        <f>IF(tblCalidadCalculada[[#This Row],[Nitrógeno medido (%)]]="",tblCalidadCalculada[[#This Row],[Nitrógeno estimado (%)]],tblCalidadCalculada[[#This Row],[Nitrógeno medido (%)]])</f>
        <v/>
      </c>
      <c r="N27" s="14">
        <f>IF(tblCalidadCalculada[[#This Row],[Estado de la medición]]="estimated",INDEX(tblCalidadFaltante[Nitrógeno estimado (%)],MATCH(tblCalidadCalculada[[#This Row],[Muestra]],tblCalidadFaltante[Muestra],0)),"")</f>
        <v/>
      </c>
      <c r="O27" s="14">
        <f>IF(tblCalidadCalculada[[#This Row],[Estado de la medición]]="estimated",INDEX(tblCalidadFaltante[FDA estimada (%)],MATCH(tblCalidadCalculada[[#This Row],[Muestra]],tblCalidadFaltante[Muestra],0)),"")</f>
        <v/>
      </c>
      <c r="P27" s="14">
        <f>IF(tblCalidadCalculada[[#This Row],[Estado de la medición]]="estimated",INDEX(tblCalidadFaltante[FDN estimada (%)],MATCH(tblCalidadCalculada[[#This Row],[Muestra]],tblCalidadFaltante[Muestra],0)),"")</f>
        <v/>
      </c>
      <c r="Q27" s="14">
        <f>tblCalidadCalculada[[#This Row],[Biomasa informada enlazada (kg MS/ha)]]*tblCalidadCalculada[[#This Row],[Nitrógeno efectivo (%)]]/100</f>
        <v/>
      </c>
      <c r="R27" s="14">
        <f>4.8*(tblCalidadCalculada[[#This Row],[Biomasa informada enlazada (kg MS/ha)]]/1000)^(-0.32)</f>
        <v/>
      </c>
      <c r="S27" s="14">
        <f>tblCalidadCalculada[[#This Row],[Nitrógeno efectivo (%)]]/tblCalidadCalculada[[#This Row],[Concentración crítica de nitrógeno (%)]]</f>
        <v/>
      </c>
      <c r="T27" s="6" t="inlineStr">
        <is>
          <t>from_measured_quality</t>
        </is>
      </c>
    </row>
    <row r="28">
      <c r="A28" s="12" t="n">
        <v>24</v>
      </c>
      <c r="B28" s="13">
        <f>INDEX(tblCalidadRegistrada[Fecha],MATCH(tblCalidadCalculada[[#This Row],[Muestra]],tblCalidadRegistrada[Muestra],0))</f>
        <v/>
      </c>
      <c r="C28" s="6">
        <f>INDEX(tblCalidadRegistrada[Sector hídrico],MATCH(tblCalidadCalculada[[#This Row],[Muestra]],tblCalidadRegistrada[Muestra],0))</f>
        <v/>
      </c>
      <c r="D28" s="6">
        <f>INDEX(tblCalidadRegistrada[Tratamiento],MATCH(tblCalidadCalculada[[#This Row],[Muestra]],tblCalidadRegistrada[Muestra],0))</f>
        <v/>
      </c>
      <c r="E28" s="6">
        <f>INDEX(tblCalidadRegistrada[Bloque],MATCH(tblCalidadCalculada[[#This Row],[Muestra]],tblCalidadRegistrada[Muestra],0))</f>
        <v/>
      </c>
      <c r="F28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28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28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28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28" s="6">
        <f>INDEX(tblCalidadRegistrada[Estado de la medición],MATCH(tblCalidadCalculada[[#This Row],[Muestra]],tblCalidadRegistrada[Muestra],0))</f>
        <v/>
      </c>
      <c r="K28" s="6">
        <f>INDEX(tblCalidadRegistrada[Origen del dato],MATCH(tblCalidadCalculada[[#This Row],[Muestra]],tblCalidadRegistrada[Muestra],0))</f>
        <v/>
      </c>
      <c r="L28" s="14">
        <f>INDEX(tblMSCalculada[Biomasa informada en el libro histórico (kg MS/ha)],MATCH(tblCalidadCalculada[[#This Row],[Muestra]],tblMSCalculada[Muestra],0))</f>
        <v/>
      </c>
      <c r="M28" s="14">
        <f>IF(tblCalidadCalculada[[#This Row],[Nitrógeno medido (%)]]="",tblCalidadCalculada[[#This Row],[Nitrógeno estimado (%)]],tblCalidadCalculada[[#This Row],[Nitrógeno medido (%)]])</f>
        <v/>
      </c>
      <c r="N28" s="14">
        <f>IF(tblCalidadCalculada[[#This Row],[Estado de la medición]]="estimated",INDEX(tblCalidadFaltante[Nitrógeno estimado (%)],MATCH(tblCalidadCalculada[[#This Row],[Muestra]],tblCalidadFaltante[Muestra],0)),"")</f>
        <v/>
      </c>
      <c r="O28" s="14">
        <f>IF(tblCalidadCalculada[[#This Row],[Estado de la medición]]="estimated",INDEX(tblCalidadFaltante[FDA estimada (%)],MATCH(tblCalidadCalculada[[#This Row],[Muestra]],tblCalidadFaltante[Muestra],0)),"")</f>
        <v/>
      </c>
      <c r="P28" s="14">
        <f>IF(tblCalidadCalculada[[#This Row],[Estado de la medición]]="estimated",INDEX(tblCalidadFaltante[FDN estimada (%)],MATCH(tblCalidadCalculada[[#This Row],[Muestra]],tblCalidadFaltante[Muestra],0)),"")</f>
        <v/>
      </c>
      <c r="Q28" s="14">
        <f>tblCalidadCalculada[[#This Row],[Biomasa informada enlazada (kg MS/ha)]]*tblCalidadCalculada[[#This Row],[Nitrógeno efectivo (%)]]/100</f>
        <v/>
      </c>
      <c r="R28" s="14">
        <f>4.8*(tblCalidadCalculada[[#This Row],[Biomasa informada enlazada (kg MS/ha)]]/1000)^(-0.32)</f>
        <v/>
      </c>
      <c r="S28" s="14">
        <f>tblCalidadCalculada[[#This Row],[Nitrógeno efectivo (%)]]/tblCalidadCalculada[[#This Row],[Concentración crítica de nitrógeno (%)]]</f>
        <v/>
      </c>
      <c r="T28" s="6" t="inlineStr">
        <is>
          <t>from_measured_quality</t>
        </is>
      </c>
    </row>
    <row r="29">
      <c r="A29" s="12" t="n">
        <v>25</v>
      </c>
      <c r="B29" s="13">
        <f>INDEX(tblCalidadRegistrada[Fecha],MATCH(tblCalidadCalculada[[#This Row],[Muestra]],tblCalidadRegistrada[Muestra],0))</f>
        <v/>
      </c>
      <c r="C29" s="6">
        <f>INDEX(tblCalidadRegistrada[Sector hídrico],MATCH(tblCalidadCalculada[[#This Row],[Muestra]],tblCalidadRegistrada[Muestra],0))</f>
        <v/>
      </c>
      <c r="D29" s="6">
        <f>INDEX(tblCalidadRegistrada[Tratamiento],MATCH(tblCalidadCalculada[[#This Row],[Muestra]],tblCalidadRegistrada[Muestra],0))</f>
        <v/>
      </c>
      <c r="E29" s="6">
        <f>INDEX(tblCalidadRegistrada[Bloque],MATCH(tblCalidadCalculada[[#This Row],[Muestra]],tblCalidadRegistrada[Muestra],0))</f>
        <v/>
      </c>
      <c r="F29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29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29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29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29" s="6">
        <f>INDEX(tblCalidadRegistrada[Estado de la medición],MATCH(tblCalidadCalculada[[#This Row],[Muestra]],tblCalidadRegistrada[Muestra],0))</f>
        <v/>
      </c>
      <c r="K29" s="6">
        <f>INDEX(tblCalidadRegistrada[Origen del dato],MATCH(tblCalidadCalculada[[#This Row],[Muestra]],tblCalidadRegistrada[Muestra],0))</f>
        <v/>
      </c>
      <c r="L29" s="14">
        <f>INDEX(tblMSCalculada[Biomasa informada en el libro histórico (kg MS/ha)],MATCH(tblCalidadCalculada[[#This Row],[Muestra]],tblMSCalculada[Muestra],0))</f>
        <v/>
      </c>
      <c r="M29" s="14">
        <f>IF(tblCalidadCalculada[[#This Row],[Nitrógeno medido (%)]]="",tblCalidadCalculada[[#This Row],[Nitrógeno estimado (%)]],tblCalidadCalculada[[#This Row],[Nitrógeno medido (%)]])</f>
        <v/>
      </c>
      <c r="N29" s="14">
        <f>IF(tblCalidadCalculada[[#This Row],[Estado de la medición]]="estimated",INDEX(tblCalidadFaltante[Nitrógeno estimado (%)],MATCH(tblCalidadCalculada[[#This Row],[Muestra]],tblCalidadFaltante[Muestra],0)),"")</f>
        <v/>
      </c>
      <c r="O29" s="14">
        <f>IF(tblCalidadCalculada[[#This Row],[Estado de la medición]]="estimated",INDEX(tblCalidadFaltante[FDA estimada (%)],MATCH(tblCalidadCalculada[[#This Row],[Muestra]],tblCalidadFaltante[Muestra],0)),"")</f>
        <v/>
      </c>
      <c r="P29" s="14">
        <f>IF(tblCalidadCalculada[[#This Row],[Estado de la medición]]="estimated",INDEX(tblCalidadFaltante[FDN estimada (%)],MATCH(tblCalidadCalculada[[#This Row],[Muestra]],tblCalidadFaltante[Muestra],0)),"")</f>
        <v/>
      </c>
      <c r="Q29" s="14">
        <f>tblCalidadCalculada[[#This Row],[Biomasa informada enlazada (kg MS/ha)]]*tblCalidadCalculada[[#This Row],[Nitrógeno efectivo (%)]]/100</f>
        <v/>
      </c>
      <c r="R29" s="14">
        <f>4.8*(tblCalidadCalculada[[#This Row],[Biomasa informada enlazada (kg MS/ha)]]/1000)^(-0.32)</f>
        <v/>
      </c>
      <c r="S29" s="14">
        <f>tblCalidadCalculada[[#This Row],[Nitrógeno efectivo (%)]]/tblCalidadCalculada[[#This Row],[Concentración crítica de nitrógeno (%)]]</f>
        <v/>
      </c>
      <c r="T29" s="6" t="inlineStr">
        <is>
          <t>from_measured_quality</t>
        </is>
      </c>
    </row>
    <row r="30">
      <c r="A30" s="12" t="n">
        <v>26</v>
      </c>
      <c r="B30" s="13">
        <f>INDEX(tblCalidadRegistrada[Fecha],MATCH(tblCalidadCalculada[[#This Row],[Muestra]],tblCalidadRegistrada[Muestra],0))</f>
        <v/>
      </c>
      <c r="C30" s="6">
        <f>INDEX(tblCalidadRegistrada[Sector hídrico],MATCH(tblCalidadCalculada[[#This Row],[Muestra]],tblCalidadRegistrada[Muestra],0))</f>
        <v/>
      </c>
      <c r="D30" s="6">
        <f>INDEX(tblCalidadRegistrada[Tratamiento],MATCH(tblCalidadCalculada[[#This Row],[Muestra]],tblCalidadRegistrada[Muestra],0))</f>
        <v/>
      </c>
      <c r="E30" s="6">
        <f>INDEX(tblCalidadRegistrada[Bloque],MATCH(tblCalidadCalculada[[#This Row],[Muestra]],tblCalidadRegistrada[Muestra],0))</f>
        <v/>
      </c>
      <c r="F30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30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30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30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30" s="6">
        <f>INDEX(tblCalidadRegistrada[Estado de la medición],MATCH(tblCalidadCalculada[[#This Row],[Muestra]],tblCalidadRegistrada[Muestra],0))</f>
        <v/>
      </c>
      <c r="K30" s="6">
        <f>INDEX(tblCalidadRegistrada[Origen del dato],MATCH(tblCalidadCalculada[[#This Row],[Muestra]],tblCalidadRegistrada[Muestra],0))</f>
        <v/>
      </c>
      <c r="L30" s="14">
        <f>INDEX(tblMSCalculada[Biomasa informada en el libro histórico (kg MS/ha)],MATCH(tblCalidadCalculada[[#This Row],[Muestra]],tblMSCalculada[Muestra],0))</f>
        <v/>
      </c>
      <c r="M30" s="14">
        <f>IF(tblCalidadCalculada[[#This Row],[Nitrógeno medido (%)]]="",tblCalidadCalculada[[#This Row],[Nitrógeno estimado (%)]],tblCalidadCalculada[[#This Row],[Nitrógeno medido (%)]])</f>
        <v/>
      </c>
      <c r="N30" s="14">
        <f>IF(tblCalidadCalculada[[#This Row],[Estado de la medición]]="estimated",INDEX(tblCalidadFaltante[Nitrógeno estimado (%)],MATCH(tblCalidadCalculada[[#This Row],[Muestra]],tblCalidadFaltante[Muestra],0)),"")</f>
        <v/>
      </c>
      <c r="O30" s="14">
        <f>IF(tblCalidadCalculada[[#This Row],[Estado de la medición]]="estimated",INDEX(tblCalidadFaltante[FDA estimada (%)],MATCH(tblCalidadCalculada[[#This Row],[Muestra]],tblCalidadFaltante[Muestra],0)),"")</f>
        <v/>
      </c>
      <c r="P30" s="14">
        <f>IF(tblCalidadCalculada[[#This Row],[Estado de la medición]]="estimated",INDEX(tblCalidadFaltante[FDN estimada (%)],MATCH(tblCalidadCalculada[[#This Row],[Muestra]],tblCalidadFaltante[Muestra],0)),"")</f>
        <v/>
      </c>
      <c r="Q30" s="14">
        <f>tblCalidadCalculada[[#This Row],[Biomasa informada enlazada (kg MS/ha)]]*tblCalidadCalculada[[#This Row],[Nitrógeno efectivo (%)]]/100</f>
        <v/>
      </c>
      <c r="R30" s="14">
        <f>4.8*(tblCalidadCalculada[[#This Row],[Biomasa informada enlazada (kg MS/ha)]]/1000)^(-0.32)</f>
        <v/>
      </c>
      <c r="S30" s="14">
        <f>tblCalidadCalculada[[#This Row],[Nitrógeno efectivo (%)]]/tblCalidadCalculada[[#This Row],[Concentración crítica de nitrógeno (%)]]</f>
        <v/>
      </c>
      <c r="T30" s="6" t="inlineStr">
        <is>
          <t>from_measured_quality</t>
        </is>
      </c>
    </row>
    <row r="31">
      <c r="A31" s="12" t="n">
        <v>27</v>
      </c>
      <c r="B31" s="13">
        <f>INDEX(tblCalidadRegistrada[Fecha],MATCH(tblCalidadCalculada[[#This Row],[Muestra]],tblCalidadRegistrada[Muestra],0))</f>
        <v/>
      </c>
      <c r="C31" s="6">
        <f>INDEX(tblCalidadRegistrada[Sector hídrico],MATCH(tblCalidadCalculada[[#This Row],[Muestra]],tblCalidadRegistrada[Muestra],0))</f>
        <v/>
      </c>
      <c r="D31" s="6">
        <f>INDEX(tblCalidadRegistrada[Tratamiento],MATCH(tblCalidadCalculada[[#This Row],[Muestra]],tblCalidadRegistrada[Muestra],0))</f>
        <v/>
      </c>
      <c r="E31" s="6">
        <f>INDEX(tblCalidadRegistrada[Bloque],MATCH(tblCalidadCalculada[[#This Row],[Muestra]],tblCalidadRegistrada[Muestra],0))</f>
        <v/>
      </c>
      <c r="F31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31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31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31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31" s="6">
        <f>INDEX(tblCalidadRegistrada[Estado de la medición],MATCH(tblCalidadCalculada[[#This Row],[Muestra]],tblCalidadRegistrada[Muestra],0))</f>
        <v/>
      </c>
      <c r="K31" s="6">
        <f>INDEX(tblCalidadRegistrada[Origen del dato],MATCH(tblCalidadCalculada[[#This Row],[Muestra]],tblCalidadRegistrada[Muestra],0))</f>
        <v/>
      </c>
      <c r="L31" s="14">
        <f>INDEX(tblMSCalculada[Biomasa informada en el libro histórico (kg MS/ha)],MATCH(tblCalidadCalculada[[#This Row],[Muestra]],tblMSCalculada[Muestra],0))</f>
        <v/>
      </c>
      <c r="M31" s="14">
        <f>IF(tblCalidadCalculada[[#This Row],[Nitrógeno medido (%)]]="",tblCalidadCalculada[[#This Row],[Nitrógeno estimado (%)]],tblCalidadCalculada[[#This Row],[Nitrógeno medido (%)]])</f>
        <v/>
      </c>
      <c r="N31" s="14">
        <f>IF(tblCalidadCalculada[[#This Row],[Estado de la medición]]="estimated",INDEX(tblCalidadFaltante[Nitrógeno estimado (%)],MATCH(tblCalidadCalculada[[#This Row],[Muestra]],tblCalidadFaltante[Muestra],0)),"")</f>
        <v/>
      </c>
      <c r="O31" s="14">
        <f>IF(tblCalidadCalculada[[#This Row],[Estado de la medición]]="estimated",INDEX(tblCalidadFaltante[FDA estimada (%)],MATCH(tblCalidadCalculada[[#This Row],[Muestra]],tblCalidadFaltante[Muestra],0)),"")</f>
        <v/>
      </c>
      <c r="P31" s="14">
        <f>IF(tblCalidadCalculada[[#This Row],[Estado de la medición]]="estimated",INDEX(tblCalidadFaltante[FDN estimada (%)],MATCH(tblCalidadCalculada[[#This Row],[Muestra]],tblCalidadFaltante[Muestra],0)),"")</f>
        <v/>
      </c>
      <c r="Q31" s="14">
        <f>tblCalidadCalculada[[#This Row],[Biomasa informada enlazada (kg MS/ha)]]*tblCalidadCalculada[[#This Row],[Nitrógeno efectivo (%)]]/100</f>
        <v/>
      </c>
      <c r="R31" s="14">
        <f>4.8*(tblCalidadCalculada[[#This Row],[Biomasa informada enlazada (kg MS/ha)]]/1000)^(-0.32)</f>
        <v/>
      </c>
      <c r="S31" s="14">
        <f>tblCalidadCalculada[[#This Row],[Nitrógeno efectivo (%)]]/tblCalidadCalculada[[#This Row],[Concentración crítica de nitrógeno (%)]]</f>
        <v/>
      </c>
      <c r="T31" s="6" t="inlineStr">
        <is>
          <t>from_dbca_estimate</t>
        </is>
      </c>
    </row>
    <row r="32">
      <c r="A32" s="12" t="n">
        <v>28</v>
      </c>
      <c r="B32" s="13">
        <f>INDEX(tblCalidadRegistrada[Fecha],MATCH(tblCalidadCalculada[[#This Row],[Muestra]],tblCalidadRegistrada[Muestra],0))</f>
        <v/>
      </c>
      <c r="C32" s="6">
        <f>INDEX(tblCalidadRegistrada[Sector hídrico],MATCH(tblCalidadCalculada[[#This Row],[Muestra]],tblCalidadRegistrada[Muestra],0))</f>
        <v/>
      </c>
      <c r="D32" s="6">
        <f>INDEX(tblCalidadRegistrada[Tratamiento],MATCH(tblCalidadCalculada[[#This Row],[Muestra]],tblCalidadRegistrada[Muestra],0))</f>
        <v/>
      </c>
      <c r="E32" s="6">
        <f>INDEX(tblCalidadRegistrada[Bloque],MATCH(tblCalidadCalculada[[#This Row],[Muestra]],tblCalidadRegistrada[Muestra],0))</f>
        <v/>
      </c>
      <c r="F32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32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32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32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32" s="6">
        <f>INDEX(tblCalidadRegistrada[Estado de la medición],MATCH(tblCalidadCalculada[[#This Row],[Muestra]],tblCalidadRegistrada[Muestra],0))</f>
        <v/>
      </c>
      <c r="K32" s="6">
        <f>INDEX(tblCalidadRegistrada[Origen del dato],MATCH(tblCalidadCalculada[[#This Row],[Muestra]],tblCalidadRegistrada[Muestra],0))</f>
        <v/>
      </c>
      <c r="L32" s="14">
        <f>INDEX(tblMSCalculada[Biomasa informada en el libro histórico (kg MS/ha)],MATCH(tblCalidadCalculada[[#This Row],[Muestra]],tblMSCalculada[Muestra],0))</f>
        <v/>
      </c>
      <c r="M32" s="14">
        <f>IF(tblCalidadCalculada[[#This Row],[Nitrógeno medido (%)]]="",tblCalidadCalculada[[#This Row],[Nitrógeno estimado (%)]],tblCalidadCalculada[[#This Row],[Nitrógeno medido (%)]])</f>
        <v/>
      </c>
      <c r="N32" s="14">
        <f>IF(tblCalidadCalculada[[#This Row],[Estado de la medición]]="estimated",INDEX(tblCalidadFaltante[Nitrógeno estimado (%)],MATCH(tblCalidadCalculada[[#This Row],[Muestra]],tblCalidadFaltante[Muestra],0)),"")</f>
        <v/>
      </c>
      <c r="O32" s="14">
        <f>IF(tblCalidadCalculada[[#This Row],[Estado de la medición]]="estimated",INDEX(tblCalidadFaltante[FDA estimada (%)],MATCH(tblCalidadCalculada[[#This Row],[Muestra]],tblCalidadFaltante[Muestra],0)),"")</f>
        <v/>
      </c>
      <c r="P32" s="14">
        <f>IF(tblCalidadCalculada[[#This Row],[Estado de la medición]]="estimated",INDEX(tblCalidadFaltante[FDN estimada (%)],MATCH(tblCalidadCalculada[[#This Row],[Muestra]],tblCalidadFaltante[Muestra],0)),"")</f>
        <v/>
      </c>
      <c r="Q32" s="14">
        <f>tblCalidadCalculada[[#This Row],[Biomasa informada enlazada (kg MS/ha)]]*tblCalidadCalculada[[#This Row],[Nitrógeno efectivo (%)]]/100</f>
        <v/>
      </c>
      <c r="R32" s="14">
        <f>4.8*(tblCalidadCalculada[[#This Row],[Biomasa informada enlazada (kg MS/ha)]]/1000)^(-0.32)</f>
        <v/>
      </c>
      <c r="S32" s="14">
        <f>tblCalidadCalculada[[#This Row],[Nitrógeno efectivo (%)]]/tblCalidadCalculada[[#This Row],[Concentración crítica de nitrógeno (%)]]</f>
        <v/>
      </c>
      <c r="T32" s="6" t="inlineStr">
        <is>
          <t>from_measured_quality</t>
        </is>
      </c>
    </row>
    <row r="33">
      <c r="A33" s="12" t="n">
        <v>29</v>
      </c>
      <c r="B33" s="13">
        <f>INDEX(tblCalidadRegistrada[Fecha],MATCH(tblCalidadCalculada[[#This Row],[Muestra]],tblCalidadRegistrada[Muestra],0))</f>
        <v/>
      </c>
      <c r="C33" s="6">
        <f>INDEX(tblCalidadRegistrada[Sector hídrico],MATCH(tblCalidadCalculada[[#This Row],[Muestra]],tblCalidadRegistrada[Muestra],0))</f>
        <v/>
      </c>
      <c r="D33" s="6">
        <f>INDEX(tblCalidadRegistrada[Tratamiento],MATCH(tblCalidadCalculada[[#This Row],[Muestra]],tblCalidadRegistrada[Muestra],0))</f>
        <v/>
      </c>
      <c r="E33" s="6">
        <f>INDEX(tblCalidadRegistrada[Bloque],MATCH(tblCalidadCalculada[[#This Row],[Muestra]],tblCalidadRegistrada[Muestra],0))</f>
        <v/>
      </c>
      <c r="F33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33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33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33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33" s="6">
        <f>INDEX(tblCalidadRegistrada[Estado de la medición],MATCH(tblCalidadCalculada[[#This Row],[Muestra]],tblCalidadRegistrada[Muestra],0))</f>
        <v/>
      </c>
      <c r="K33" s="6">
        <f>INDEX(tblCalidadRegistrada[Origen del dato],MATCH(tblCalidadCalculada[[#This Row],[Muestra]],tblCalidadRegistrada[Muestra],0))</f>
        <v/>
      </c>
      <c r="L33" s="14">
        <f>INDEX(tblMSCalculada[Biomasa informada en el libro histórico (kg MS/ha)],MATCH(tblCalidadCalculada[[#This Row],[Muestra]],tblMSCalculada[Muestra],0))</f>
        <v/>
      </c>
      <c r="M33" s="14">
        <f>IF(tblCalidadCalculada[[#This Row],[Nitrógeno medido (%)]]="",tblCalidadCalculada[[#This Row],[Nitrógeno estimado (%)]],tblCalidadCalculada[[#This Row],[Nitrógeno medido (%)]])</f>
        <v/>
      </c>
      <c r="N33" s="14">
        <f>IF(tblCalidadCalculada[[#This Row],[Estado de la medición]]="estimated",INDEX(tblCalidadFaltante[Nitrógeno estimado (%)],MATCH(tblCalidadCalculada[[#This Row],[Muestra]],tblCalidadFaltante[Muestra],0)),"")</f>
        <v/>
      </c>
      <c r="O33" s="14">
        <f>IF(tblCalidadCalculada[[#This Row],[Estado de la medición]]="estimated",INDEX(tblCalidadFaltante[FDA estimada (%)],MATCH(tblCalidadCalculada[[#This Row],[Muestra]],tblCalidadFaltante[Muestra],0)),"")</f>
        <v/>
      </c>
      <c r="P33" s="14">
        <f>IF(tblCalidadCalculada[[#This Row],[Estado de la medición]]="estimated",INDEX(tblCalidadFaltante[FDN estimada (%)],MATCH(tblCalidadCalculada[[#This Row],[Muestra]],tblCalidadFaltante[Muestra],0)),"")</f>
        <v/>
      </c>
      <c r="Q33" s="14">
        <f>tblCalidadCalculada[[#This Row],[Biomasa informada enlazada (kg MS/ha)]]*tblCalidadCalculada[[#This Row],[Nitrógeno efectivo (%)]]/100</f>
        <v/>
      </c>
      <c r="R33" s="14">
        <f>4.8*(tblCalidadCalculada[[#This Row],[Biomasa informada enlazada (kg MS/ha)]]/1000)^(-0.32)</f>
        <v/>
      </c>
      <c r="S33" s="14">
        <f>tblCalidadCalculada[[#This Row],[Nitrógeno efectivo (%)]]/tblCalidadCalculada[[#This Row],[Concentración crítica de nitrógeno (%)]]</f>
        <v/>
      </c>
      <c r="T33" s="6" t="inlineStr">
        <is>
          <t>from_measured_quality</t>
        </is>
      </c>
    </row>
    <row r="34">
      <c r="A34" s="12" t="n">
        <v>30</v>
      </c>
      <c r="B34" s="13">
        <f>INDEX(tblCalidadRegistrada[Fecha],MATCH(tblCalidadCalculada[[#This Row],[Muestra]],tblCalidadRegistrada[Muestra],0))</f>
        <v/>
      </c>
      <c r="C34" s="6">
        <f>INDEX(tblCalidadRegistrada[Sector hídrico],MATCH(tblCalidadCalculada[[#This Row],[Muestra]],tblCalidadRegistrada[Muestra],0))</f>
        <v/>
      </c>
      <c r="D34" s="6">
        <f>INDEX(tblCalidadRegistrada[Tratamiento],MATCH(tblCalidadCalculada[[#This Row],[Muestra]],tblCalidadRegistrada[Muestra],0))</f>
        <v/>
      </c>
      <c r="E34" s="6">
        <f>INDEX(tblCalidadRegistrada[Bloque],MATCH(tblCalidadCalculada[[#This Row],[Muestra]],tblCalidadRegistrada[Muestra],0))</f>
        <v/>
      </c>
      <c r="F34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34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34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34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34" s="6">
        <f>INDEX(tblCalidadRegistrada[Estado de la medición],MATCH(tblCalidadCalculada[[#This Row],[Muestra]],tblCalidadRegistrada[Muestra],0))</f>
        <v/>
      </c>
      <c r="K34" s="6">
        <f>INDEX(tblCalidadRegistrada[Origen del dato],MATCH(tblCalidadCalculada[[#This Row],[Muestra]],tblCalidadRegistrada[Muestra],0))</f>
        <v/>
      </c>
      <c r="L34" s="14">
        <f>INDEX(tblMSCalculada[Biomasa informada en el libro histórico (kg MS/ha)],MATCH(tblCalidadCalculada[[#This Row],[Muestra]],tblMSCalculada[Muestra],0))</f>
        <v/>
      </c>
      <c r="M34" s="14">
        <f>IF(tblCalidadCalculada[[#This Row],[Nitrógeno medido (%)]]="",tblCalidadCalculada[[#This Row],[Nitrógeno estimado (%)]],tblCalidadCalculada[[#This Row],[Nitrógeno medido (%)]])</f>
        <v/>
      </c>
      <c r="N34" s="14">
        <f>IF(tblCalidadCalculada[[#This Row],[Estado de la medición]]="estimated",INDEX(tblCalidadFaltante[Nitrógeno estimado (%)],MATCH(tblCalidadCalculada[[#This Row],[Muestra]],tblCalidadFaltante[Muestra],0)),"")</f>
        <v/>
      </c>
      <c r="O34" s="14">
        <f>IF(tblCalidadCalculada[[#This Row],[Estado de la medición]]="estimated",INDEX(tblCalidadFaltante[FDA estimada (%)],MATCH(tblCalidadCalculada[[#This Row],[Muestra]],tblCalidadFaltante[Muestra],0)),"")</f>
        <v/>
      </c>
      <c r="P34" s="14">
        <f>IF(tblCalidadCalculada[[#This Row],[Estado de la medición]]="estimated",INDEX(tblCalidadFaltante[FDN estimada (%)],MATCH(tblCalidadCalculada[[#This Row],[Muestra]],tblCalidadFaltante[Muestra],0)),"")</f>
        <v/>
      </c>
      <c r="Q34" s="14">
        <f>tblCalidadCalculada[[#This Row],[Biomasa informada enlazada (kg MS/ha)]]*tblCalidadCalculada[[#This Row],[Nitrógeno efectivo (%)]]/100</f>
        <v/>
      </c>
      <c r="R34" s="14">
        <f>4.8*(tblCalidadCalculada[[#This Row],[Biomasa informada enlazada (kg MS/ha)]]/1000)^(-0.32)</f>
        <v/>
      </c>
      <c r="S34" s="14">
        <f>tblCalidadCalculada[[#This Row],[Nitrógeno efectivo (%)]]/tblCalidadCalculada[[#This Row],[Concentración crítica de nitrógeno (%)]]</f>
        <v/>
      </c>
      <c r="T34" s="6" t="inlineStr">
        <is>
          <t>from_measured_quality</t>
        </is>
      </c>
    </row>
    <row r="35">
      <c r="A35" s="12" t="n">
        <v>31</v>
      </c>
      <c r="B35" s="13">
        <f>INDEX(tblCalidadRegistrada[Fecha],MATCH(tblCalidadCalculada[[#This Row],[Muestra]],tblCalidadRegistrada[Muestra],0))</f>
        <v/>
      </c>
      <c r="C35" s="6">
        <f>INDEX(tblCalidadRegistrada[Sector hídrico],MATCH(tblCalidadCalculada[[#This Row],[Muestra]],tblCalidadRegistrada[Muestra],0))</f>
        <v/>
      </c>
      <c r="D35" s="6">
        <f>INDEX(tblCalidadRegistrada[Tratamiento],MATCH(tblCalidadCalculada[[#This Row],[Muestra]],tblCalidadRegistrada[Muestra],0))</f>
        <v/>
      </c>
      <c r="E35" s="6">
        <f>INDEX(tblCalidadRegistrada[Bloque],MATCH(tblCalidadCalculada[[#This Row],[Muestra]],tblCalidadRegistrada[Muestra],0))</f>
        <v/>
      </c>
      <c r="F35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35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35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35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35" s="6">
        <f>INDEX(tblCalidadRegistrada[Estado de la medición],MATCH(tblCalidadCalculada[[#This Row],[Muestra]],tblCalidadRegistrada[Muestra],0))</f>
        <v/>
      </c>
      <c r="K35" s="6">
        <f>INDEX(tblCalidadRegistrada[Origen del dato],MATCH(tblCalidadCalculada[[#This Row],[Muestra]],tblCalidadRegistrada[Muestra],0))</f>
        <v/>
      </c>
      <c r="L35" s="14">
        <f>INDEX(tblMSCalculada[Biomasa informada en el libro histórico (kg MS/ha)],MATCH(tblCalidadCalculada[[#This Row],[Muestra]],tblMSCalculada[Muestra],0))</f>
        <v/>
      </c>
      <c r="M35" s="14">
        <f>IF(tblCalidadCalculada[[#This Row],[Nitrógeno medido (%)]]="",tblCalidadCalculada[[#This Row],[Nitrógeno estimado (%)]],tblCalidadCalculada[[#This Row],[Nitrógeno medido (%)]])</f>
        <v/>
      </c>
      <c r="N35" s="14">
        <f>IF(tblCalidadCalculada[[#This Row],[Estado de la medición]]="estimated",INDEX(tblCalidadFaltante[Nitrógeno estimado (%)],MATCH(tblCalidadCalculada[[#This Row],[Muestra]],tblCalidadFaltante[Muestra],0)),"")</f>
        <v/>
      </c>
      <c r="O35" s="14">
        <f>IF(tblCalidadCalculada[[#This Row],[Estado de la medición]]="estimated",INDEX(tblCalidadFaltante[FDA estimada (%)],MATCH(tblCalidadCalculada[[#This Row],[Muestra]],tblCalidadFaltante[Muestra],0)),"")</f>
        <v/>
      </c>
      <c r="P35" s="14">
        <f>IF(tblCalidadCalculada[[#This Row],[Estado de la medición]]="estimated",INDEX(tblCalidadFaltante[FDN estimada (%)],MATCH(tblCalidadCalculada[[#This Row],[Muestra]],tblCalidadFaltante[Muestra],0)),"")</f>
        <v/>
      </c>
      <c r="Q35" s="14">
        <f>tblCalidadCalculada[[#This Row],[Biomasa informada enlazada (kg MS/ha)]]*tblCalidadCalculada[[#This Row],[Nitrógeno efectivo (%)]]/100</f>
        <v/>
      </c>
      <c r="R35" s="14">
        <f>4.8*(tblCalidadCalculada[[#This Row],[Biomasa informada enlazada (kg MS/ha)]]/1000)^(-0.32)</f>
        <v/>
      </c>
      <c r="S35" s="14">
        <f>tblCalidadCalculada[[#This Row],[Nitrógeno efectivo (%)]]/tblCalidadCalculada[[#This Row],[Concentración crítica de nitrógeno (%)]]</f>
        <v/>
      </c>
      <c r="T35" s="6" t="inlineStr">
        <is>
          <t>from_measured_quality</t>
        </is>
      </c>
    </row>
    <row r="36">
      <c r="A36" s="12" t="n">
        <v>32</v>
      </c>
      <c r="B36" s="13">
        <f>INDEX(tblCalidadRegistrada[Fecha],MATCH(tblCalidadCalculada[[#This Row],[Muestra]],tblCalidadRegistrada[Muestra],0))</f>
        <v/>
      </c>
      <c r="C36" s="6">
        <f>INDEX(tblCalidadRegistrada[Sector hídrico],MATCH(tblCalidadCalculada[[#This Row],[Muestra]],tblCalidadRegistrada[Muestra],0))</f>
        <v/>
      </c>
      <c r="D36" s="6">
        <f>INDEX(tblCalidadRegistrada[Tratamiento],MATCH(tblCalidadCalculada[[#This Row],[Muestra]],tblCalidadRegistrada[Muestra],0))</f>
        <v/>
      </c>
      <c r="E36" s="6">
        <f>INDEX(tblCalidadRegistrada[Bloque],MATCH(tblCalidadCalculada[[#This Row],[Muestra]],tblCalidadRegistrada[Muestra],0))</f>
        <v/>
      </c>
      <c r="F36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36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36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36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36" s="6">
        <f>INDEX(tblCalidadRegistrada[Estado de la medición],MATCH(tblCalidadCalculada[[#This Row],[Muestra]],tblCalidadRegistrada[Muestra],0))</f>
        <v/>
      </c>
      <c r="K36" s="6">
        <f>INDEX(tblCalidadRegistrada[Origen del dato],MATCH(tblCalidadCalculada[[#This Row],[Muestra]],tblCalidadRegistrada[Muestra],0))</f>
        <v/>
      </c>
      <c r="L36" s="14">
        <f>INDEX(tblMSCalculada[Biomasa informada en el libro histórico (kg MS/ha)],MATCH(tblCalidadCalculada[[#This Row],[Muestra]],tblMSCalculada[Muestra],0))</f>
        <v/>
      </c>
      <c r="M36" s="14">
        <f>IF(tblCalidadCalculada[[#This Row],[Nitrógeno medido (%)]]="",tblCalidadCalculada[[#This Row],[Nitrógeno estimado (%)]],tblCalidadCalculada[[#This Row],[Nitrógeno medido (%)]])</f>
        <v/>
      </c>
      <c r="N36" s="14">
        <f>IF(tblCalidadCalculada[[#This Row],[Estado de la medición]]="estimated",INDEX(tblCalidadFaltante[Nitrógeno estimado (%)],MATCH(tblCalidadCalculada[[#This Row],[Muestra]],tblCalidadFaltante[Muestra],0)),"")</f>
        <v/>
      </c>
      <c r="O36" s="14">
        <f>IF(tblCalidadCalculada[[#This Row],[Estado de la medición]]="estimated",INDEX(tblCalidadFaltante[FDA estimada (%)],MATCH(tblCalidadCalculada[[#This Row],[Muestra]],tblCalidadFaltante[Muestra],0)),"")</f>
        <v/>
      </c>
      <c r="P36" s="14">
        <f>IF(tblCalidadCalculada[[#This Row],[Estado de la medición]]="estimated",INDEX(tblCalidadFaltante[FDN estimada (%)],MATCH(tblCalidadCalculada[[#This Row],[Muestra]],tblCalidadFaltante[Muestra],0)),"")</f>
        <v/>
      </c>
      <c r="Q36" s="14">
        <f>tblCalidadCalculada[[#This Row],[Biomasa informada enlazada (kg MS/ha)]]*tblCalidadCalculada[[#This Row],[Nitrógeno efectivo (%)]]/100</f>
        <v/>
      </c>
      <c r="R36" s="14">
        <f>4.8*(tblCalidadCalculada[[#This Row],[Biomasa informada enlazada (kg MS/ha)]]/1000)^(-0.32)</f>
        <v/>
      </c>
      <c r="S36" s="14">
        <f>tblCalidadCalculada[[#This Row],[Nitrógeno efectivo (%)]]/tblCalidadCalculada[[#This Row],[Concentración crítica de nitrógeno (%)]]</f>
        <v/>
      </c>
      <c r="T36" s="6" t="inlineStr">
        <is>
          <t>from_measured_quality</t>
        </is>
      </c>
    </row>
    <row r="37">
      <c r="A37" s="12" t="n">
        <v>33</v>
      </c>
      <c r="B37" s="13">
        <f>INDEX(tblCalidadRegistrada[Fecha],MATCH(tblCalidadCalculada[[#This Row],[Muestra]],tblCalidadRegistrada[Muestra],0))</f>
        <v/>
      </c>
      <c r="C37" s="6">
        <f>INDEX(tblCalidadRegistrada[Sector hídrico],MATCH(tblCalidadCalculada[[#This Row],[Muestra]],tblCalidadRegistrada[Muestra],0))</f>
        <v/>
      </c>
      <c r="D37" s="6">
        <f>INDEX(tblCalidadRegistrada[Tratamiento],MATCH(tblCalidadCalculada[[#This Row],[Muestra]],tblCalidadRegistrada[Muestra],0))</f>
        <v/>
      </c>
      <c r="E37" s="6">
        <f>INDEX(tblCalidadRegistrada[Bloque],MATCH(tblCalidadCalculada[[#This Row],[Muestra]],tblCalidadRegistrada[Muestra],0))</f>
        <v/>
      </c>
      <c r="F37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37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37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37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37" s="6">
        <f>INDEX(tblCalidadRegistrada[Estado de la medición],MATCH(tblCalidadCalculada[[#This Row],[Muestra]],tblCalidadRegistrada[Muestra],0))</f>
        <v/>
      </c>
      <c r="K37" s="6">
        <f>INDEX(tblCalidadRegistrada[Origen del dato],MATCH(tblCalidadCalculada[[#This Row],[Muestra]],tblCalidadRegistrada[Muestra],0))</f>
        <v/>
      </c>
      <c r="L37" s="14">
        <f>INDEX(tblMSCalculada[Biomasa informada en el libro histórico (kg MS/ha)],MATCH(tblCalidadCalculada[[#This Row],[Muestra]],tblMSCalculada[Muestra],0))</f>
        <v/>
      </c>
      <c r="M37" s="14">
        <f>IF(tblCalidadCalculada[[#This Row],[Nitrógeno medido (%)]]="",tblCalidadCalculada[[#This Row],[Nitrógeno estimado (%)]],tblCalidadCalculada[[#This Row],[Nitrógeno medido (%)]])</f>
        <v/>
      </c>
      <c r="N37" s="14">
        <f>IF(tblCalidadCalculada[[#This Row],[Estado de la medición]]="estimated",INDEX(tblCalidadFaltante[Nitrógeno estimado (%)],MATCH(tblCalidadCalculada[[#This Row],[Muestra]],tblCalidadFaltante[Muestra],0)),"")</f>
        <v/>
      </c>
      <c r="O37" s="14">
        <f>IF(tblCalidadCalculada[[#This Row],[Estado de la medición]]="estimated",INDEX(tblCalidadFaltante[FDA estimada (%)],MATCH(tblCalidadCalculada[[#This Row],[Muestra]],tblCalidadFaltante[Muestra],0)),"")</f>
        <v/>
      </c>
      <c r="P37" s="14">
        <f>IF(tblCalidadCalculada[[#This Row],[Estado de la medición]]="estimated",INDEX(tblCalidadFaltante[FDN estimada (%)],MATCH(tblCalidadCalculada[[#This Row],[Muestra]],tblCalidadFaltante[Muestra],0)),"")</f>
        <v/>
      </c>
      <c r="Q37" s="14">
        <f>tblCalidadCalculada[[#This Row],[Biomasa informada enlazada (kg MS/ha)]]*tblCalidadCalculada[[#This Row],[Nitrógeno efectivo (%)]]/100</f>
        <v/>
      </c>
      <c r="R37" s="14">
        <f>4.8*(tblCalidadCalculada[[#This Row],[Biomasa informada enlazada (kg MS/ha)]]/1000)^(-0.32)</f>
        <v/>
      </c>
      <c r="S37" s="14">
        <f>tblCalidadCalculada[[#This Row],[Nitrógeno efectivo (%)]]/tblCalidadCalculada[[#This Row],[Concentración crítica de nitrógeno (%)]]</f>
        <v/>
      </c>
      <c r="T37" s="6" t="inlineStr">
        <is>
          <t>from_measured_quality</t>
        </is>
      </c>
    </row>
    <row r="38">
      <c r="A38" s="12" t="n">
        <v>34</v>
      </c>
      <c r="B38" s="13">
        <f>INDEX(tblCalidadRegistrada[Fecha],MATCH(tblCalidadCalculada[[#This Row],[Muestra]],tblCalidadRegistrada[Muestra],0))</f>
        <v/>
      </c>
      <c r="C38" s="6">
        <f>INDEX(tblCalidadRegistrada[Sector hídrico],MATCH(tblCalidadCalculada[[#This Row],[Muestra]],tblCalidadRegistrada[Muestra],0))</f>
        <v/>
      </c>
      <c r="D38" s="6">
        <f>INDEX(tblCalidadRegistrada[Tratamiento],MATCH(tblCalidadCalculada[[#This Row],[Muestra]],tblCalidadRegistrada[Muestra],0))</f>
        <v/>
      </c>
      <c r="E38" s="6">
        <f>INDEX(tblCalidadRegistrada[Bloque],MATCH(tblCalidadCalculada[[#This Row],[Muestra]],tblCalidadRegistrada[Muestra],0))</f>
        <v/>
      </c>
      <c r="F38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38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38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38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38" s="6">
        <f>INDEX(tblCalidadRegistrada[Estado de la medición],MATCH(tblCalidadCalculada[[#This Row],[Muestra]],tblCalidadRegistrada[Muestra],0))</f>
        <v/>
      </c>
      <c r="K38" s="6">
        <f>INDEX(tblCalidadRegistrada[Origen del dato],MATCH(tblCalidadCalculada[[#This Row],[Muestra]],tblCalidadRegistrada[Muestra],0))</f>
        <v/>
      </c>
      <c r="L38" s="14">
        <f>INDEX(tblMSCalculada[Biomasa informada en el libro histórico (kg MS/ha)],MATCH(tblCalidadCalculada[[#This Row],[Muestra]],tblMSCalculada[Muestra],0))</f>
        <v/>
      </c>
      <c r="M38" s="14">
        <f>IF(tblCalidadCalculada[[#This Row],[Nitrógeno medido (%)]]="",tblCalidadCalculada[[#This Row],[Nitrógeno estimado (%)]],tblCalidadCalculada[[#This Row],[Nitrógeno medido (%)]])</f>
        <v/>
      </c>
      <c r="N38" s="14">
        <f>IF(tblCalidadCalculada[[#This Row],[Estado de la medición]]="estimated",INDEX(tblCalidadFaltante[Nitrógeno estimado (%)],MATCH(tblCalidadCalculada[[#This Row],[Muestra]],tblCalidadFaltante[Muestra],0)),"")</f>
        <v/>
      </c>
      <c r="O38" s="14">
        <f>IF(tblCalidadCalculada[[#This Row],[Estado de la medición]]="estimated",INDEX(tblCalidadFaltante[FDA estimada (%)],MATCH(tblCalidadCalculada[[#This Row],[Muestra]],tblCalidadFaltante[Muestra],0)),"")</f>
        <v/>
      </c>
      <c r="P38" s="14">
        <f>IF(tblCalidadCalculada[[#This Row],[Estado de la medición]]="estimated",INDEX(tblCalidadFaltante[FDN estimada (%)],MATCH(tblCalidadCalculada[[#This Row],[Muestra]],tblCalidadFaltante[Muestra],0)),"")</f>
        <v/>
      </c>
      <c r="Q38" s="14">
        <f>tblCalidadCalculada[[#This Row],[Biomasa informada enlazada (kg MS/ha)]]*tblCalidadCalculada[[#This Row],[Nitrógeno efectivo (%)]]/100</f>
        <v/>
      </c>
      <c r="R38" s="14">
        <f>4.8*(tblCalidadCalculada[[#This Row],[Biomasa informada enlazada (kg MS/ha)]]/1000)^(-0.32)</f>
        <v/>
      </c>
      <c r="S38" s="14">
        <f>tblCalidadCalculada[[#This Row],[Nitrógeno efectivo (%)]]/tblCalidadCalculada[[#This Row],[Concentración crítica de nitrógeno (%)]]</f>
        <v/>
      </c>
      <c r="T38" s="6" t="inlineStr">
        <is>
          <t>from_measured_quality</t>
        </is>
      </c>
    </row>
    <row r="39">
      <c r="A39" s="12" t="n">
        <v>35</v>
      </c>
      <c r="B39" s="13">
        <f>INDEX(tblCalidadRegistrada[Fecha],MATCH(tblCalidadCalculada[[#This Row],[Muestra]],tblCalidadRegistrada[Muestra],0))</f>
        <v/>
      </c>
      <c r="C39" s="6">
        <f>INDEX(tblCalidadRegistrada[Sector hídrico],MATCH(tblCalidadCalculada[[#This Row],[Muestra]],tblCalidadRegistrada[Muestra],0))</f>
        <v/>
      </c>
      <c r="D39" s="6">
        <f>INDEX(tblCalidadRegistrada[Tratamiento],MATCH(tblCalidadCalculada[[#This Row],[Muestra]],tblCalidadRegistrada[Muestra],0))</f>
        <v/>
      </c>
      <c r="E39" s="6">
        <f>INDEX(tblCalidadRegistrada[Bloque],MATCH(tblCalidadCalculada[[#This Row],[Muestra]],tblCalidadRegistrada[Muestra],0))</f>
        <v/>
      </c>
      <c r="F39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39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39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39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39" s="6">
        <f>INDEX(tblCalidadRegistrada[Estado de la medición],MATCH(tblCalidadCalculada[[#This Row],[Muestra]],tblCalidadRegistrada[Muestra],0))</f>
        <v/>
      </c>
      <c r="K39" s="6">
        <f>INDEX(tblCalidadRegistrada[Origen del dato],MATCH(tblCalidadCalculada[[#This Row],[Muestra]],tblCalidadRegistrada[Muestra],0))</f>
        <v/>
      </c>
      <c r="L39" s="14">
        <f>INDEX(tblMSCalculada[Biomasa informada en el libro histórico (kg MS/ha)],MATCH(tblCalidadCalculada[[#This Row],[Muestra]],tblMSCalculada[Muestra],0))</f>
        <v/>
      </c>
      <c r="M39" s="14">
        <f>IF(tblCalidadCalculada[[#This Row],[Nitrógeno medido (%)]]="",tblCalidadCalculada[[#This Row],[Nitrógeno estimado (%)]],tblCalidadCalculada[[#This Row],[Nitrógeno medido (%)]])</f>
        <v/>
      </c>
      <c r="N39" s="14">
        <f>IF(tblCalidadCalculada[[#This Row],[Estado de la medición]]="estimated",INDEX(tblCalidadFaltante[Nitrógeno estimado (%)],MATCH(tblCalidadCalculada[[#This Row],[Muestra]],tblCalidadFaltante[Muestra],0)),"")</f>
        <v/>
      </c>
      <c r="O39" s="14">
        <f>IF(tblCalidadCalculada[[#This Row],[Estado de la medición]]="estimated",INDEX(tblCalidadFaltante[FDA estimada (%)],MATCH(tblCalidadCalculada[[#This Row],[Muestra]],tblCalidadFaltante[Muestra],0)),"")</f>
        <v/>
      </c>
      <c r="P39" s="14">
        <f>IF(tblCalidadCalculada[[#This Row],[Estado de la medición]]="estimated",INDEX(tblCalidadFaltante[FDN estimada (%)],MATCH(tblCalidadCalculada[[#This Row],[Muestra]],tblCalidadFaltante[Muestra],0)),"")</f>
        <v/>
      </c>
      <c r="Q39" s="14">
        <f>tblCalidadCalculada[[#This Row],[Biomasa informada enlazada (kg MS/ha)]]*tblCalidadCalculada[[#This Row],[Nitrógeno efectivo (%)]]/100</f>
        <v/>
      </c>
      <c r="R39" s="14">
        <f>4.8*(tblCalidadCalculada[[#This Row],[Biomasa informada enlazada (kg MS/ha)]]/1000)^(-0.32)</f>
        <v/>
      </c>
      <c r="S39" s="14">
        <f>tblCalidadCalculada[[#This Row],[Nitrógeno efectivo (%)]]/tblCalidadCalculada[[#This Row],[Concentración crítica de nitrógeno (%)]]</f>
        <v/>
      </c>
      <c r="T39" s="6" t="inlineStr">
        <is>
          <t>from_measured_quality</t>
        </is>
      </c>
    </row>
    <row r="40">
      <c r="A40" s="12" t="n">
        <v>36</v>
      </c>
      <c r="B40" s="13">
        <f>INDEX(tblCalidadRegistrada[Fecha],MATCH(tblCalidadCalculada[[#This Row],[Muestra]],tblCalidadRegistrada[Muestra],0))</f>
        <v/>
      </c>
      <c r="C40" s="6">
        <f>INDEX(tblCalidadRegistrada[Sector hídrico],MATCH(tblCalidadCalculada[[#This Row],[Muestra]],tblCalidadRegistrada[Muestra],0))</f>
        <v/>
      </c>
      <c r="D40" s="6">
        <f>INDEX(tblCalidadRegistrada[Tratamiento],MATCH(tblCalidadCalculada[[#This Row],[Muestra]],tblCalidadRegistrada[Muestra],0))</f>
        <v/>
      </c>
      <c r="E40" s="6">
        <f>INDEX(tblCalidadRegistrada[Bloque],MATCH(tblCalidadCalculada[[#This Row],[Muestra]],tblCalidadRegistrada[Muestra],0))</f>
        <v/>
      </c>
      <c r="F40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40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40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40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40" s="6">
        <f>INDEX(tblCalidadRegistrada[Estado de la medición],MATCH(tblCalidadCalculada[[#This Row],[Muestra]],tblCalidadRegistrada[Muestra],0))</f>
        <v/>
      </c>
      <c r="K40" s="6">
        <f>INDEX(tblCalidadRegistrada[Origen del dato],MATCH(tblCalidadCalculada[[#This Row],[Muestra]],tblCalidadRegistrada[Muestra],0))</f>
        <v/>
      </c>
      <c r="L40" s="14">
        <f>INDEX(tblMSCalculada[Biomasa informada en el libro histórico (kg MS/ha)],MATCH(tblCalidadCalculada[[#This Row],[Muestra]],tblMSCalculada[Muestra],0))</f>
        <v/>
      </c>
      <c r="M40" s="14">
        <f>IF(tblCalidadCalculada[[#This Row],[Nitrógeno medido (%)]]="",tblCalidadCalculada[[#This Row],[Nitrógeno estimado (%)]],tblCalidadCalculada[[#This Row],[Nitrógeno medido (%)]])</f>
        <v/>
      </c>
      <c r="N40" s="14">
        <f>IF(tblCalidadCalculada[[#This Row],[Estado de la medición]]="estimated",INDEX(tblCalidadFaltante[Nitrógeno estimado (%)],MATCH(tblCalidadCalculada[[#This Row],[Muestra]],tblCalidadFaltante[Muestra],0)),"")</f>
        <v/>
      </c>
      <c r="O40" s="14">
        <f>IF(tblCalidadCalculada[[#This Row],[Estado de la medición]]="estimated",INDEX(tblCalidadFaltante[FDA estimada (%)],MATCH(tblCalidadCalculada[[#This Row],[Muestra]],tblCalidadFaltante[Muestra],0)),"")</f>
        <v/>
      </c>
      <c r="P40" s="14">
        <f>IF(tblCalidadCalculada[[#This Row],[Estado de la medición]]="estimated",INDEX(tblCalidadFaltante[FDN estimada (%)],MATCH(tblCalidadCalculada[[#This Row],[Muestra]],tblCalidadFaltante[Muestra],0)),"")</f>
        <v/>
      </c>
      <c r="Q40" s="14">
        <f>tblCalidadCalculada[[#This Row],[Biomasa informada enlazada (kg MS/ha)]]*tblCalidadCalculada[[#This Row],[Nitrógeno efectivo (%)]]/100</f>
        <v/>
      </c>
      <c r="R40" s="14">
        <f>4.8*(tblCalidadCalculada[[#This Row],[Biomasa informada enlazada (kg MS/ha)]]/1000)^(-0.32)</f>
        <v/>
      </c>
      <c r="S40" s="14">
        <f>tblCalidadCalculada[[#This Row],[Nitrógeno efectivo (%)]]/tblCalidadCalculada[[#This Row],[Concentración crítica de nitrógeno (%)]]</f>
        <v/>
      </c>
      <c r="T40" s="6" t="inlineStr">
        <is>
          <t>from_measured_quality</t>
        </is>
      </c>
    </row>
    <row r="41">
      <c r="A41" s="12" t="n">
        <v>37</v>
      </c>
      <c r="B41" s="13">
        <f>INDEX(tblCalidadRegistrada[Fecha],MATCH(tblCalidadCalculada[[#This Row],[Muestra]],tblCalidadRegistrada[Muestra],0))</f>
        <v/>
      </c>
      <c r="C41" s="6">
        <f>INDEX(tblCalidadRegistrada[Sector hídrico],MATCH(tblCalidadCalculada[[#This Row],[Muestra]],tblCalidadRegistrada[Muestra],0))</f>
        <v/>
      </c>
      <c r="D41" s="6">
        <f>INDEX(tblCalidadRegistrada[Tratamiento],MATCH(tblCalidadCalculada[[#This Row],[Muestra]],tblCalidadRegistrada[Muestra],0))</f>
        <v/>
      </c>
      <c r="E41" s="6">
        <f>INDEX(tblCalidadRegistrada[Bloque],MATCH(tblCalidadCalculada[[#This Row],[Muestra]],tblCalidadRegistrada[Muestra],0))</f>
        <v/>
      </c>
      <c r="F41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41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41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41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41" s="6">
        <f>INDEX(tblCalidadRegistrada[Estado de la medición],MATCH(tblCalidadCalculada[[#This Row],[Muestra]],tblCalidadRegistrada[Muestra],0))</f>
        <v/>
      </c>
      <c r="K41" s="6">
        <f>INDEX(tblCalidadRegistrada[Origen del dato],MATCH(tblCalidadCalculada[[#This Row],[Muestra]],tblCalidadRegistrada[Muestra],0))</f>
        <v/>
      </c>
      <c r="L41" s="14">
        <f>INDEX(tblMSCalculada[Biomasa informada en el libro histórico (kg MS/ha)],MATCH(tblCalidadCalculada[[#This Row],[Muestra]],tblMSCalculada[Muestra],0))</f>
        <v/>
      </c>
      <c r="M41" s="14">
        <f>IF(tblCalidadCalculada[[#This Row],[Nitrógeno medido (%)]]="",tblCalidadCalculada[[#This Row],[Nitrógeno estimado (%)]],tblCalidadCalculada[[#This Row],[Nitrógeno medido (%)]])</f>
        <v/>
      </c>
      <c r="N41" s="14">
        <f>IF(tblCalidadCalculada[[#This Row],[Estado de la medición]]="estimated",INDEX(tblCalidadFaltante[Nitrógeno estimado (%)],MATCH(tblCalidadCalculada[[#This Row],[Muestra]],tblCalidadFaltante[Muestra],0)),"")</f>
        <v/>
      </c>
      <c r="O41" s="14">
        <f>IF(tblCalidadCalculada[[#This Row],[Estado de la medición]]="estimated",INDEX(tblCalidadFaltante[FDA estimada (%)],MATCH(tblCalidadCalculada[[#This Row],[Muestra]],tblCalidadFaltante[Muestra],0)),"")</f>
        <v/>
      </c>
      <c r="P41" s="14">
        <f>IF(tblCalidadCalculada[[#This Row],[Estado de la medición]]="estimated",INDEX(tblCalidadFaltante[FDN estimada (%)],MATCH(tblCalidadCalculada[[#This Row],[Muestra]],tblCalidadFaltante[Muestra],0)),"")</f>
        <v/>
      </c>
      <c r="Q41" s="14">
        <f>tblCalidadCalculada[[#This Row],[Biomasa informada enlazada (kg MS/ha)]]*tblCalidadCalculada[[#This Row],[Nitrógeno efectivo (%)]]/100</f>
        <v/>
      </c>
      <c r="R41" s="14">
        <f>4.8*(tblCalidadCalculada[[#This Row],[Biomasa informada enlazada (kg MS/ha)]]/1000)^(-0.32)</f>
        <v/>
      </c>
      <c r="S41" s="14">
        <f>tblCalidadCalculada[[#This Row],[Nitrógeno efectivo (%)]]/tblCalidadCalculada[[#This Row],[Concentración crítica de nitrógeno (%)]]</f>
        <v/>
      </c>
      <c r="T41" s="6" t="inlineStr">
        <is>
          <t>from_measured_quality</t>
        </is>
      </c>
    </row>
    <row r="42">
      <c r="A42" s="12" t="n">
        <v>38</v>
      </c>
      <c r="B42" s="13">
        <f>INDEX(tblCalidadRegistrada[Fecha],MATCH(tblCalidadCalculada[[#This Row],[Muestra]],tblCalidadRegistrada[Muestra],0))</f>
        <v/>
      </c>
      <c r="C42" s="6">
        <f>INDEX(tblCalidadRegistrada[Sector hídrico],MATCH(tblCalidadCalculada[[#This Row],[Muestra]],tblCalidadRegistrada[Muestra],0))</f>
        <v/>
      </c>
      <c r="D42" s="6">
        <f>INDEX(tblCalidadRegistrada[Tratamiento],MATCH(tblCalidadCalculada[[#This Row],[Muestra]],tblCalidadRegistrada[Muestra],0))</f>
        <v/>
      </c>
      <c r="E42" s="6">
        <f>INDEX(tblCalidadRegistrada[Bloque],MATCH(tblCalidadCalculada[[#This Row],[Muestra]],tblCalidadRegistrada[Muestra],0))</f>
        <v/>
      </c>
      <c r="F42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42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42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42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42" s="6">
        <f>INDEX(tblCalidadRegistrada[Estado de la medición],MATCH(tblCalidadCalculada[[#This Row],[Muestra]],tblCalidadRegistrada[Muestra],0))</f>
        <v/>
      </c>
      <c r="K42" s="6">
        <f>INDEX(tblCalidadRegistrada[Origen del dato],MATCH(tblCalidadCalculada[[#This Row],[Muestra]],tblCalidadRegistrada[Muestra],0))</f>
        <v/>
      </c>
      <c r="L42" s="14">
        <f>INDEX(tblMSCalculada[Biomasa informada en el libro histórico (kg MS/ha)],MATCH(tblCalidadCalculada[[#This Row],[Muestra]],tblMSCalculada[Muestra],0))</f>
        <v/>
      </c>
      <c r="M42" s="14">
        <f>IF(tblCalidadCalculada[[#This Row],[Nitrógeno medido (%)]]="",tblCalidadCalculada[[#This Row],[Nitrógeno estimado (%)]],tblCalidadCalculada[[#This Row],[Nitrógeno medido (%)]])</f>
        <v/>
      </c>
      <c r="N42" s="14">
        <f>IF(tblCalidadCalculada[[#This Row],[Estado de la medición]]="estimated",INDEX(tblCalidadFaltante[Nitrógeno estimado (%)],MATCH(tblCalidadCalculada[[#This Row],[Muestra]],tblCalidadFaltante[Muestra],0)),"")</f>
        <v/>
      </c>
      <c r="O42" s="14">
        <f>IF(tblCalidadCalculada[[#This Row],[Estado de la medición]]="estimated",INDEX(tblCalidadFaltante[FDA estimada (%)],MATCH(tblCalidadCalculada[[#This Row],[Muestra]],tblCalidadFaltante[Muestra],0)),"")</f>
        <v/>
      </c>
      <c r="P42" s="14">
        <f>IF(tblCalidadCalculada[[#This Row],[Estado de la medición]]="estimated",INDEX(tblCalidadFaltante[FDN estimada (%)],MATCH(tblCalidadCalculada[[#This Row],[Muestra]],tblCalidadFaltante[Muestra],0)),"")</f>
        <v/>
      </c>
      <c r="Q42" s="14">
        <f>tblCalidadCalculada[[#This Row],[Biomasa informada enlazada (kg MS/ha)]]*tblCalidadCalculada[[#This Row],[Nitrógeno efectivo (%)]]/100</f>
        <v/>
      </c>
      <c r="R42" s="14">
        <f>4.8*(tblCalidadCalculada[[#This Row],[Biomasa informada enlazada (kg MS/ha)]]/1000)^(-0.32)</f>
        <v/>
      </c>
      <c r="S42" s="14">
        <f>tblCalidadCalculada[[#This Row],[Nitrógeno efectivo (%)]]/tblCalidadCalculada[[#This Row],[Concentración crítica de nitrógeno (%)]]</f>
        <v/>
      </c>
      <c r="T42" s="6" t="inlineStr">
        <is>
          <t>from_measured_quality</t>
        </is>
      </c>
    </row>
    <row r="43">
      <c r="A43" s="12" t="n">
        <v>39</v>
      </c>
      <c r="B43" s="13">
        <f>INDEX(tblCalidadRegistrada[Fecha],MATCH(tblCalidadCalculada[[#This Row],[Muestra]],tblCalidadRegistrada[Muestra],0))</f>
        <v/>
      </c>
      <c r="C43" s="6">
        <f>INDEX(tblCalidadRegistrada[Sector hídrico],MATCH(tblCalidadCalculada[[#This Row],[Muestra]],tblCalidadRegistrada[Muestra],0))</f>
        <v/>
      </c>
      <c r="D43" s="6">
        <f>INDEX(tblCalidadRegistrada[Tratamiento],MATCH(tblCalidadCalculada[[#This Row],[Muestra]],tblCalidadRegistrada[Muestra],0))</f>
        <v/>
      </c>
      <c r="E43" s="6">
        <f>INDEX(tblCalidadRegistrada[Bloque],MATCH(tblCalidadCalculada[[#This Row],[Muestra]],tblCalidadRegistrada[Muestra],0))</f>
        <v/>
      </c>
      <c r="F43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43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43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43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43" s="6">
        <f>INDEX(tblCalidadRegistrada[Estado de la medición],MATCH(tblCalidadCalculada[[#This Row],[Muestra]],tblCalidadRegistrada[Muestra],0))</f>
        <v/>
      </c>
      <c r="K43" s="6">
        <f>INDEX(tblCalidadRegistrada[Origen del dato],MATCH(tblCalidadCalculada[[#This Row],[Muestra]],tblCalidadRegistrada[Muestra],0))</f>
        <v/>
      </c>
      <c r="L43" s="14">
        <f>INDEX(tblMSCalculada[Biomasa informada en el libro histórico (kg MS/ha)],MATCH(tblCalidadCalculada[[#This Row],[Muestra]],tblMSCalculada[Muestra],0))</f>
        <v/>
      </c>
      <c r="M43" s="14">
        <f>IF(tblCalidadCalculada[[#This Row],[Nitrógeno medido (%)]]="",tblCalidadCalculada[[#This Row],[Nitrógeno estimado (%)]],tblCalidadCalculada[[#This Row],[Nitrógeno medido (%)]])</f>
        <v/>
      </c>
      <c r="N43" s="14">
        <f>IF(tblCalidadCalculada[[#This Row],[Estado de la medición]]="estimated",INDEX(tblCalidadFaltante[Nitrógeno estimado (%)],MATCH(tblCalidadCalculada[[#This Row],[Muestra]],tblCalidadFaltante[Muestra],0)),"")</f>
        <v/>
      </c>
      <c r="O43" s="14">
        <f>IF(tblCalidadCalculada[[#This Row],[Estado de la medición]]="estimated",INDEX(tblCalidadFaltante[FDA estimada (%)],MATCH(tblCalidadCalculada[[#This Row],[Muestra]],tblCalidadFaltante[Muestra],0)),"")</f>
        <v/>
      </c>
      <c r="P43" s="14">
        <f>IF(tblCalidadCalculada[[#This Row],[Estado de la medición]]="estimated",INDEX(tblCalidadFaltante[FDN estimada (%)],MATCH(tblCalidadCalculada[[#This Row],[Muestra]],tblCalidadFaltante[Muestra],0)),"")</f>
        <v/>
      </c>
      <c r="Q43" s="14">
        <f>tblCalidadCalculada[[#This Row],[Biomasa informada enlazada (kg MS/ha)]]*tblCalidadCalculada[[#This Row],[Nitrógeno efectivo (%)]]/100</f>
        <v/>
      </c>
      <c r="R43" s="14">
        <f>4.8*(tblCalidadCalculada[[#This Row],[Biomasa informada enlazada (kg MS/ha)]]/1000)^(-0.32)</f>
        <v/>
      </c>
      <c r="S43" s="14">
        <f>tblCalidadCalculada[[#This Row],[Nitrógeno efectivo (%)]]/tblCalidadCalculada[[#This Row],[Concentración crítica de nitrógeno (%)]]</f>
        <v/>
      </c>
      <c r="T43" s="6" t="inlineStr">
        <is>
          <t>from_measured_quality</t>
        </is>
      </c>
    </row>
    <row r="44">
      <c r="A44" s="12" t="n">
        <v>40</v>
      </c>
      <c r="B44" s="13">
        <f>INDEX(tblCalidadRegistrada[Fecha],MATCH(tblCalidadCalculada[[#This Row],[Muestra]],tblCalidadRegistrada[Muestra],0))</f>
        <v/>
      </c>
      <c r="C44" s="6">
        <f>INDEX(tblCalidadRegistrada[Sector hídrico],MATCH(tblCalidadCalculada[[#This Row],[Muestra]],tblCalidadRegistrada[Muestra],0))</f>
        <v/>
      </c>
      <c r="D44" s="6">
        <f>INDEX(tblCalidadRegistrada[Tratamiento],MATCH(tblCalidadCalculada[[#This Row],[Muestra]],tblCalidadRegistrada[Muestra],0))</f>
        <v/>
      </c>
      <c r="E44" s="6">
        <f>INDEX(tblCalidadRegistrada[Bloque],MATCH(tblCalidadCalculada[[#This Row],[Muestra]],tblCalidadRegistrada[Muestra],0))</f>
        <v/>
      </c>
      <c r="F44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44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44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44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44" s="6">
        <f>INDEX(tblCalidadRegistrada[Estado de la medición],MATCH(tblCalidadCalculada[[#This Row],[Muestra]],tblCalidadRegistrada[Muestra],0))</f>
        <v/>
      </c>
      <c r="K44" s="6">
        <f>INDEX(tblCalidadRegistrada[Origen del dato],MATCH(tblCalidadCalculada[[#This Row],[Muestra]],tblCalidadRegistrada[Muestra],0))</f>
        <v/>
      </c>
      <c r="L44" s="14">
        <f>INDEX(tblMSCalculada[Biomasa informada en el libro histórico (kg MS/ha)],MATCH(tblCalidadCalculada[[#This Row],[Muestra]],tblMSCalculada[Muestra],0))</f>
        <v/>
      </c>
      <c r="M44" s="14">
        <f>IF(tblCalidadCalculada[[#This Row],[Nitrógeno medido (%)]]="",tblCalidadCalculada[[#This Row],[Nitrógeno estimado (%)]],tblCalidadCalculada[[#This Row],[Nitrógeno medido (%)]])</f>
        <v/>
      </c>
      <c r="N44" s="14">
        <f>IF(tblCalidadCalculada[[#This Row],[Estado de la medición]]="estimated",INDEX(tblCalidadFaltante[Nitrógeno estimado (%)],MATCH(tblCalidadCalculada[[#This Row],[Muestra]],tblCalidadFaltante[Muestra],0)),"")</f>
        <v/>
      </c>
      <c r="O44" s="14">
        <f>IF(tblCalidadCalculada[[#This Row],[Estado de la medición]]="estimated",INDEX(tblCalidadFaltante[FDA estimada (%)],MATCH(tblCalidadCalculada[[#This Row],[Muestra]],tblCalidadFaltante[Muestra],0)),"")</f>
        <v/>
      </c>
      <c r="P44" s="14">
        <f>IF(tblCalidadCalculada[[#This Row],[Estado de la medición]]="estimated",INDEX(tblCalidadFaltante[FDN estimada (%)],MATCH(tblCalidadCalculada[[#This Row],[Muestra]],tblCalidadFaltante[Muestra],0)),"")</f>
        <v/>
      </c>
      <c r="Q44" s="14">
        <f>tblCalidadCalculada[[#This Row],[Biomasa informada enlazada (kg MS/ha)]]*tblCalidadCalculada[[#This Row],[Nitrógeno efectivo (%)]]/100</f>
        <v/>
      </c>
      <c r="R44" s="14">
        <f>4.8*(tblCalidadCalculada[[#This Row],[Biomasa informada enlazada (kg MS/ha)]]/1000)^(-0.32)</f>
        <v/>
      </c>
      <c r="S44" s="14">
        <f>tblCalidadCalculada[[#This Row],[Nitrógeno efectivo (%)]]/tblCalidadCalculada[[#This Row],[Concentración crítica de nitrógeno (%)]]</f>
        <v/>
      </c>
      <c r="T44" s="6" t="inlineStr">
        <is>
          <t>from_measured_quality</t>
        </is>
      </c>
    </row>
    <row r="45">
      <c r="A45" s="12" t="n">
        <v>41</v>
      </c>
      <c r="B45" s="13">
        <f>INDEX(tblCalidadRegistrada[Fecha],MATCH(tblCalidadCalculada[[#This Row],[Muestra]],tblCalidadRegistrada[Muestra],0))</f>
        <v/>
      </c>
      <c r="C45" s="6">
        <f>INDEX(tblCalidadRegistrada[Sector hídrico],MATCH(tblCalidadCalculada[[#This Row],[Muestra]],tblCalidadRegistrada[Muestra],0))</f>
        <v/>
      </c>
      <c r="D45" s="6">
        <f>INDEX(tblCalidadRegistrada[Tratamiento],MATCH(tblCalidadCalculada[[#This Row],[Muestra]],tblCalidadRegistrada[Muestra],0))</f>
        <v/>
      </c>
      <c r="E45" s="6">
        <f>INDEX(tblCalidadRegistrada[Bloque],MATCH(tblCalidadCalculada[[#This Row],[Muestra]],tblCalidadRegistrada[Muestra],0))</f>
        <v/>
      </c>
      <c r="F45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45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45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45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45" s="6">
        <f>INDEX(tblCalidadRegistrada[Estado de la medición],MATCH(tblCalidadCalculada[[#This Row],[Muestra]],tblCalidadRegistrada[Muestra],0))</f>
        <v/>
      </c>
      <c r="K45" s="6">
        <f>INDEX(tblCalidadRegistrada[Origen del dato],MATCH(tblCalidadCalculada[[#This Row],[Muestra]],tblCalidadRegistrada[Muestra],0))</f>
        <v/>
      </c>
      <c r="L45" s="14">
        <f>INDEX(tblMSCalculada[Biomasa informada en el libro histórico (kg MS/ha)],MATCH(tblCalidadCalculada[[#This Row],[Muestra]],tblMSCalculada[Muestra],0))</f>
        <v/>
      </c>
      <c r="M45" s="14">
        <f>IF(tblCalidadCalculada[[#This Row],[Nitrógeno medido (%)]]="",tblCalidadCalculada[[#This Row],[Nitrógeno estimado (%)]],tblCalidadCalculada[[#This Row],[Nitrógeno medido (%)]])</f>
        <v/>
      </c>
      <c r="N45" s="14">
        <f>IF(tblCalidadCalculada[[#This Row],[Estado de la medición]]="estimated",INDEX(tblCalidadFaltante[Nitrógeno estimado (%)],MATCH(tblCalidadCalculada[[#This Row],[Muestra]],tblCalidadFaltante[Muestra],0)),"")</f>
        <v/>
      </c>
      <c r="O45" s="14">
        <f>IF(tblCalidadCalculada[[#This Row],[Estado de la medición]]="estimated",INDEX(tblCalidadFaltante[FDA estimada (%)],MATCH(tblCalidadCalculada[[#This Row],[Muestra]],tblCalidadFaltante[Muestra],0)),"")</f>
        <v/>
      </c>
      <c r="P45" s="14">
        <f>IF(tblCalidadCalculada[[#This Row],[Estado de la medición]]="estimated",INDEX(tblCalidadFaltante[FDN estimada (%)],MATCH(tblCalidadCalculada[[#This Row],[Muestra]],tblCalidadFaltante[Muestra],0)),"")</f>
        <v/>
      </c>
      <c r="Q45" s="14">
        <f>tblCalidadCalculada[[#This Row],[Biomasa informada enlazada (kg MS/ha)]]*tblCalidadCalculada[[#This Row],[Nitrógeno efectivo (%)]]/100</f>
        <v/>
      </c>
      <c r="R45" s="14">
        <f>4.8*(tblCalidadCalculada[[#This Row],[Biomasa informada enlazada (kg MS/ha)]]/1000)^(-0.32)</f>
        <v/>
      </c>
      <c r="S45" s="14">
        <f>tblCalidadCalculada[[#This Row],[Nitrógeno efectivo (%)]]/tblCalidadCalculada[[#This Row],[Concentración crítica de nitrógeno (%)]]</f>
        <v/>
      </c>
      <c r="T45" s="6" t="inlineStr">
        <is>
          <t>from_measured_quality</t>
        </is>
      </c>
    </row>
    <row r="46">
      <c r="A46" s="12" t="n">
        <v>42</v>
      </c>
      <c r="B46" s="13">
        <f>INDEX(tblCalidadRegistrada[Fecha],MATCH(tblCalidadCalculada[[#This Row],[Muestra]],tblCalidadRegistrada[Muestra],0))</f>
        <v/>
      </c>
      <c r="C46" s="6">
        <f>INDEX(tblCalidadRegistrada[Sector hídrico],MATCH(tblCalidadCalculada[[#This Row],[Muestra]],tblCalidadRegistrada[Muestra],0))</f>
        <v/>
      </c>
      <c r="D46" s="6">
        <f>INDEX(tblCalidadRegistrada[Tratamiento],MATCH(tblCalidadCalculada[[#This Row],[Muestra]],tblCalidadRegistrada[Muestra],0))</f>
        <v/>
      </c>
      <c r="E46" s="6">
        <f>INDEX(tblCalidadRegistrada[Bloque],MATCH(tblCalidadCalculada[[#This Row],[Muestra]],tblCalidadRegistrada[Muestra],0))</f>
        <v/>
      </c>
      <c r="F46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46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46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46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46" s="6">
        <f>INDEX(tblCalidadRegistrada[Estado de la medición],MATCH(tblCalidadCalculada[[#This Row],[Muestra]],tblCalidadRegistrada[Muestra],0))</f>
        <v/>
      </c>
      <c r="K46" s="6">
        <f>INDEX(tblCalidadRegistrada[Origen del dato],MATCH(tblCalidadCalculada[[#This Row],[Muestra]],tblCalidadRegistrada[Muestra],0))</f>
        <v/>
      </c>
      <c r="L46" s="14">
        <f>INDEX(tblMSCalculada[Biomasa informada en el libro histórico (kg MS/ha)],MATCH(tblCalidadCalculada[[#This Row],[Muestra]],tblMSCalculada[Muestra],0))</f>
        <v/>
      </c>
      <c r="M46" s="14">
        <f>IF(tblCalidadCalculada[[#This Row],[Nitrógeno medido (%)]]="",tblCalidadCalculada[[#This Row],[Nitrógeno estimado (%)]],tblCalidadCalculada[[#This Row],[Nitrógeno medido (%)]])</f>
        <v/>
      </c>
      <c r="N46" s="14">
        <f>IF(tblCalidadCalculada[[#This Row],[Estado de la medición]]="estimated",INDEX(tblCalidadFaltante[Nitrógeno estimado (%)],MATCH(tblCalidadCalculada[[#This Row],[Muestra]],tblCalidadFaltante[Muestra],0)),"")</f>
        <v/>
      </c>
      <c r="O46" s="14">
        <f>IF(tblCalidadCalculada[[#This Row],[Estado de la medición]]="estimated",INDEX(tblCalidadFaltante[FDA estimada (%)],MATCH(tblCalidadCalculada[[#This Row],[Muestra]],tblCalidadFaltante[Muestra],0)),"")</f>
        <v/>
      </c>
      <c r="P46" s="14">
        <f>IF(tblCalidadCalculada[[#This Row],[Estado de la medición]]="estimated",INDEX(tblCalidadFaltante[FDN estimada (%)],MATCH(tblCalidadCalculada[[#This Row],[Muestra]],tblCalidadFaltante[Muestra],0)),"")</f>
        <v/>
      </c>
      <c r="Q46" s="14">
        <f>tblCalidadCalculada[[#This Row],[Biomasa informada enlazada (kg MS/ha)]]*tblCalidadCalculada[[#This Row],[Nitrógeno efectivo (%)]]/100</f>
        <v/>
      </c>
      <c r="R46" s="14">
        <f>4.8*(tblCalidadCalculada[[#This Row],[Biomasa informada enlazada (kg MS/ha)]]/1000)^(-0.32)</f>
        <v/>
      </c>
      <c r="S46" s="14">
        <f>tblCalidadCalculada[[#This Row],[Nitrógeno efectivo (%)]]/tblCalidadCalculada[[#This Row],[Concentración crítica de nitrógeno (%)]]</f>
        <v/>
      </c>
      <c r="T46" s="6" t="inlineStr">
        <is>
          <t>from_measured_quality</t>
        </is>
      </c>
    </row>
    <row r="47">
      <c r="A47" s="12" t="n">
        <v>43</v>
      </c>
      <c r="B47" s="13">
        <f>INDEX(tblCalidadRegistrada[Fecha],MATCH(tblCalidadCalculada[[#This Row],[Muestra]],tblCalidadRegistrada[Muestra],0))</f>
        <v/>
      </c>
      <c r="C47" s="6">
        <f>INDEX(tblCalidadRegistrada[Sector hídrico],MATCH(tblCalidadCalculada[[#This Row],[Muestra]],tblCalidadRegistrada[Muestra],0))</f>
        <v/>
      </c>
      <c r="D47" s="6">
        <f>INDEX(tblCalidadRegistrada[Tratamiento],MATCH(tblCalidadCalculada[[#This Row],[Muestra]],tblCalidadRegistrada[Muestra],0))</f>
        <v/>
      </c>
      <c r="E47" s="6">
        <f>INDEX(tblCalidadRegistrada[Bloque],MATCH(tblCalidadCalculada[[#This Row],[Muestra]],tblCalidadRegistrada[Muestra],0))</f>
        <v/>
      </c>
      <c r="F47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47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47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47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47" s="6">
        <f>INDEX(tblCalidadRegistrada[Estado de la medición],MATCH(tblCalidadCalculada[[#This Row],[Muestra]],tblCalidadRegistrada[Muestra],0))</f>
        <v/>
      </c>
      <c r="K47" s="6">
        <f>INDEX(tblCalidadRegistrada[Origen del dato],MATCH(tblCalidadCalculada[[#This Row],[Muestra]],tblCalidadRegistrada[Muestra],0))</f>
        <v/>
      </c>
      <c r="L47" s="14">
        <f>INDEX(tblMSCalculada[Biomasa informada en el libro histórico (kg MS/ha)],MATCH(tblCalidadCalculada[[#This Row],[Muestra]],tblMSCalculada[Muestra],0))</f>
        <v/>
      </c>
      <c r="M47" s="14">
        <f>IF(tblCalidadCalculada[[#This Row],[Nitrógeno medido (%)]]="",tblCalidadCalculada[[#This Row],[Nitrógeno estimado (%)]],tblCalidadCalculada[[#This Row],[Nitrógeno medido (%)]])</f>
        <v/>
      </c>
      <c r="N47" s="14">
        <f>IF(tblCalidadCalculada[[#This Row],[Estado de la medición]]="estimated",INDEX(tblCalidadFaltante[Nitrógeno estimado (%)],MATCH(tblCalidadCalculada[[#This Row],[Muestra]],tblCalidadFaltante[Muestra],0)),"")</f>
        <v/>
      </c>
      <c r="O47" s="14">
        <f>IF(tblCalidadCalculada[[#This Row],[Estado de la medición]]="estimated",INDEX(tblCalidadFaltante[FDA estimada (%)],MATCH(tblCalidadCalculada[[#This Row],[Muestra]],tblCalidadFaltante[Muestra],0)),"")</f>
        <v/>
      </c>
      <c r="P47" s="14">
        <f>IF(tblCalidadCalculada[[#This Row],[Estado de la medición]]="estimated",INDEX(tblCalidadFaltante[FDN estimada (%)],MATCH(tblCalidadCalculada[[#This Row],[Muestra]],tblCalidadFaltante[Muestra],0)),"")</f>
        <v/>
      </c>
      <c r="Q47" s="14">
        <f>tblCalidadCalculada[[#This Row],[Biomasa informada enlazada (kg MS/ha)]]*tblCalidadCalculada[[#This Row],[Nitrógeno efectivo (%)]]/100</f>
        <v/>
      </c>
      <c r="R47" s="14">
        <f>4.8*(tblCalidadCalculada[[#This Row],[Biomasa informada enlazada (kg MS/ha)]]/1000)^(-0.32)</f>
        <v/>
      </c>
      <c r="S47" s="14">
        <f>tblCalidadCalculada[[#This Row],[Nitrógeno efectivo (%)]]/tblCalidadCalculada[[#This Row],[Concentración crítica de nitrógeno (%)]]</f>
        <v/>
      </c>
      <c r="T47" s="6" t="inlineStr">
        <is>
          <t>from_measured_quality</t>
        </is>
      </c>
    </row>
    <row r="48">
      <c r="A48" s="12" t="n">
        <v>44</v>
      </c>
      <c r="B48" s="13">
        <f>INDEX(tblCalidadRegistrada[Fecha],MATCH(tblCalidadCalculada[[#This Row],[Muestra]],tblCalidadRegistrada[Muestra],0))</f>
        <v/>
      </c>
      <c r="C48" s="6">
        <f>INDEX(tblCalidadRegistrada[Sector hídrico],MATCH(tblCalidadCalculada[[#This Row],[Muestra]],tblCalidadRegistrada[Muestra],0))</f>
        <v/>
      </c>
      <c r="D48" s="6">
        <f>INDEX(tblCalidadRegistrada[Tratamiento],MATCH(tblCalidadCalculada[[#This Row],[Muestra]],tblCalidadRegistrada[Muestra],0))</f>
        <v/>
      </c>
      <c r="E48" s="6">
        <f>INDEX(tblCalidadRegistrada[Bloque],MATCH(tblCalidadCalculada[[#This Row],[Muestra]],tblCalidadRegistrada[Muestra],0))</f>
        <v/>
      </c>
      <c r="F48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48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48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48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48" s="6">
        <f>INDEX(tblCalidadRegistrada[Estado de la medición],MATCH(tblCalidadCalculada[[#This Row],[Muestra]],tblCalidadRegistrada[Muestra],0))</f>
        <v/>
      </c>
      <c r="K48" s="6">
        <f>INDEX(tblCalidadRegistrada[Origen del dato],MATCH(tblCalidadCalculada[[#This Row],[Muestra]],tblCalidadRegistrada[Muestra],0))</f>
        <v/>
      </c>
      <c r="L48" s="14">
        <f>INDEX(tblMSCalculada[Biomasa informada en el libro histórico (kg MS/ha)],MATCH(tblCalidadCalculada[[#This Row],[Muestra]],tblMSCalculada[Muestra],0))</f>
        <v/>
      </c>
      <c r="M48" s="14">
        <f>IF(tblCalidadCalculada[[#This Row],[Nitrógeno medido (%)]]="",tblCalidadCalculada[[#This Row],[Nitrógeno estimado (%)]],tblCalidadCalculada[[#This Row],[Nitrógeno medido (%)]])</f>
        <v/>
      </c>
      <c r="N48" s="14">
        <f>IF(tblCalidadCalculada[[#This Row],[Estado de la medición]]="estimated",INDEX(tblCalidadFaltante[Nitrógeno estimado (%)],MATCH(tblCalidadCalculada[[#This Row],[Muestra]],tblCalidadFaltante[Muestra],0)),"")</f>
        <v/>
      </c>
      <c r="O48" s="14">
        <f>IF(tblCalidadCalculada[[#This Row],[Estado de la medición]]="estimated",INDEX(tblCalidadFaltante[FDA estimada (%)],MATCH(tblCalidadCalculada[[#This Row],[Muestra]],tblCalidadFaltante[Muestra],0)),"")</f>
        <v/>
      </c>
      <c r="P48" s="14">
        <f>IF(tblCalidadCalculada[[#This Row],[Estado de la medición]]="estimated",INDEX(tblCalidadFaltante[FDN estimada (%)],MATCH(tblCalidadCalculada[[#This Row],[Muestra]],tblCalidadFaltante[Muestra],0)),"")</f>
        <v/>
      </c>
      <c r="Q48" s="14">
        <f>tblCalidadCalculada[[#This Row],[Biomasa informada enlazada (kg MS/ha)]]*tblCalidadCalculada[[#This Row],[Nitrógeno efectivo (%)]]/100</f>
        <v/>
      </c>
      <c r="R48" s="14">
        <f>4.8*(tblCalidadCalculada[[#This Row],[Biomasa informada enlazada (kg MS/ha)]]/1000)^(-0.32)</f>
        <v/>
      </c>
      <c r="S48" s="14">
        <f>tblCalidadCalculada[[#This Row],[Nitrógeno efectivo (%)]]/tblCalidadCalculada[[#This Row],[Concentración crítica de nitrógeno (%)]]</f>
        <v/>
      </c>
      <c r="T48" s="6" t="inlineStr">
        <is>
          <t>from_measured_quality</t>
        </is>
      </c>
    </row>
    <row r="49">
      <c r="A49" s="12" t="n">
        <v>45</v>
      </c>
      <c r="B49" s="13">
        <f>INDEX(tblCalidadRegistrada[Fecha],MATCH(tblCalidadCalculada[[#This Row],[Muestra]],tblCalidadRegistrada[Muestra],0))</f>
        <v/>
      </c>
      <c r="C49" s="6">
        <f>INDEX(tblCalidadRegistrada[Sector hídrico],MATCH(tblCalidadCalculada[[#This Row],[Muestra]],tblCalidadRegistrada[Muestra],0))</f>
        <v/>
      </c>
      <c r="D49" s="6">
        <f>INDEX(tblCalidadRegistrada[Tratamiento],MATCH(tblCalidadCalculada[[#This Row],[Muestra]],tblCalidadRegistrada[Muestra],0))</f>
        <v/>
      </c>
      <c r="E49" s="6">
        <f>INDEX(tblCalidadRegistrada[Bloque],MATCH(tblCalidadCalculada[[#This Row],[Muestra]],tblCalidadRegistrada[Muestra],0))</f>
        <v/>
      </c>
      <c r="F49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49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49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49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49" s="6">
        <f>INDEX(tblCalidadRegistrada[Estado de la medición],MATCH(tblCalidadCalculada[[#This Row],[Muestra]],tblCalidadRegistrada[Muestra],0))</f>
        <v/>
      </c>
      <c r="K49" s="6">
        <f>INDEX(tblCalidadRegistrada[Origen del dato],MATCH(tblCalidadCalculada[[#This Row],[Muestra]],tblCalidadRegistrada[Muestra],0))</f>
        <v/>
      </c>
      <c r="L49" s="14">
        <f>INDEX(tblMSCalculada[Biomasa informada en el libro histórico (kg MS/ha)],MATCH(tblCalidadCalculada[[#This Row],[Muestra]],tblMSCalculada[Muestra],0))</f>
        <v/>
      </c>
      <c r="M49" s="14">
        <f>IF(tblCalidadCalculada[[#This Row],[Nitrógeno medido (%)]]="",tblCalidadCalculada[[#This Row],[Nitrógeno estimado (%)]],tblCalidadCalculada[[#This Row],[Nitrógeno medido (%)]])</f>
        <v/>
      </c>
      <c r="N49" s="14">
        <f>IF(tblCalidadCalculada[[#This Row],[Estado de la medición]]="estimated",INDEX(tblCalidadFaltante[Nitrógeno estimado (%)],MATCH(tblCalidadCalculada[[#This Row],[Muestra]],tblCalidadFaltante[Muestra],0)),"")</f>
        <v/>
      </c>
      <c r="O49" s="14">
        <f>IF(tblCalidadCalculada[[#This Row],[Estado de la medición]]="estimated",INDEX(tblCalidadFaltante[FDA estimada (%)],MATCH(tblCalidadCalculada[[#This Row],[Muestra]],tblCalidadFaltante[Muestra],0)),"")</f>
        <v/>
      </c>
      <c r="P49" s="14">
        <f>IF(tblCalidadCalculada[[#This Row],[Estado de la medición]]="estimated",INDEX(tblCalidadFaltante[FDN estimada (%)],MATCH(tblCalidadCalculada[[#This Row],[Muestra]],tblCalidadFaltante[Muestra],0)),"")</f>
        <v/>
      </c>
      <c r="Q49" s="14">
        <f>tblCalidadCalculada[[#This Row],[Biomasa informada enlazada (kg MS/ha)]]*tblCalidadCalculada[[#This Row],[Nitrógeno efectivo (%)]]/100</f>
        <v/>
      </c>
      <c r="R49" s="14">
        <f>4.8*(tblCalidadCalculada[[#This Row],[Biomasa informada enlazada (kg MS/ha)]]/1000)^(-0.32)</f>
        <v/>
      </c>
      <c r="S49" s="14">
        <f>tblCalidadCalculada[[#This Row],[Nitrógeno efectivo (%)]]/tblCalidadCalculada[[#This Row],[Concentración crítica de nitrógeno (%)]]</f>
        <v/>
      </c>
      <c r="T49" s="6" t="inlineStr">
        <is>
          <t>from_measured_quality</t>
        </is>
      </c>
    </row>
    <row r="50">
      <c r="A50" s="12" t="n">
        <v>46</v>
      </c>
      <c r="B50" s="13">
        <f>INDEX(tblCalidadRegistrada[Fecha],MATCH(tblCalidadCalculada[[#This Row],[Muestra]],tblCalidadRegistrada[Muestra],0))</f>
        <v/>
      </c>
      <c r="C50" s="6">
        <f>INDEX(tblCalidadRegistrada[Sector hídrico],MATCH(tblCalidadCalculada[[#This Row],[Muestra]],tblCalidadRegistrada[Muestra],0))</f>
        <v/>
      </c>
      <c r="D50" s="6">
        <f>INDEX(tblCalidadRegistrada[Tratamiento],MATCH(tblCalidadCalculada[[#This Row],[Muestra]],tblCalidadRegistrada[Muestra],0))</f>
        <v/>
      </c>
      <c r="E50" s="6">
        <f>INDEX(tblCalidadRegistrada[Bloque],MATCH(tblCalidadCalculada[[#This Row],[Muestra]],tblCalidadRegistrada[Muestra],0))</f>
        <v/>
      </c>
      <c r="F50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50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50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50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50" s="6">
        <f>INDEX(tblCalidadRegistrada[Estado de la medición],MATCH(tblCalidadCalculada[[#This Row],[Muestra]],tblCalidadRegistrada[Muestra],0))</f>
        <v/>
      </c>
      <c r="K50" s="6">
        <f>INDEX(tblCalidadRegistrada[Origen del dato],MATCH(tblCalidadCalculada[[#This Row],[Muestra]],tblCalidadRegistrada[Muestra],0))</f>
        <v/>
      </c>
      <c r="L50" s="14">
        <f>INDEX(tblMSCalculada[Biomasa informada en el libro histórico (kg MS/ha)],MATCH(tblCalidadCalculada[[#This Row],[Muestra]],tblMSCalculada[Muestra],0))</f>
        <v/>
      </c>
      <c r="M50" s="14">
        <f>IF(tblCalidadCalculada[[#This Row],[Nitrógeno medido (%)]]="",tblCalidadCalculada[[#This Row],[Nitrógeno estimado (%)]],tblCalidadCalculada[[#This Row],[Nitrógeno medido (%)]])</f>
        <v/>
      </c>
      <c r="N50" s="14">
        <f>IF(tblCalidadCalculada[[#This Row],[Estado de la medición]]="estimated",INDEX(tblCalidadFaltante[Nitrógeno estimado (%)],MATCH(tblCalidadCalculada[[#This Row],[Muestra]],tblCalidadFaltante[Muestra],0)),"")</f>
        <v/>
      </c>
      <c r="O50" s="14">
        <f>IF(tblCalidadCalculada[[#This Row],[Estado de la medición]]="estimated",INDEX(tblCalidadFaltante[FDA estimada (%)],MATCH(tblCalidadCalculada[[#This Row],[Muestra]],tblCalidadFaltante[Muestra],0)),"")</f>
        <v/>
      </c>
      <c r="P50" s="14">
        <f>IF(tblCalidadCalculada[[#This Row],[Estado de la medición]]="estimated",INDEX(tblCalidadFaltante[FDN estimada (%)],MATCH(tblCalidadCalculada[[#This Row],[Muestra]],tblCalidadFaltante[Muestra],0)),"")</f>
        <v/>
      </c>
      <c r="Q50" s="14">
        <f>tblCalidadCalculada[[#This Row],[Biomasa informada enlazada (kg MS/ha)]]*tblCalidadCalculada[[#This Row],[Nitrógeno efectivo (%)]]/100</f>
        <v/>
      </c>
      <c r="R50" s="14">
        <f>4.8*(tblCalidadCalculada[[#This Row],[Biomasa informada enlazada (kg MS/ha)]]/1000)^(-0.32)</f>
        <v/>
      </c>
      <c r="S50" s="14">
        <f>tblCalidadCalculada[[#This Row],[Nitrógeno efectivo (%)]]/tblCalidadCalculada[[#This Row],[Concentración crítica de nitrógeno (%)]]</f>
        <v/>
      </c>
      <c r="T50" s="6" t="inlineStr">
        <is>
          <t>from_measured_quality</t>
        </is>
      </c>
    </row>
    <row r="51">
      <c r="A51" s="12" t="n">
        <v>47</v>
      </c>
      <c r="B51" s="13">
        <f>INDEX(tblCalidadRegistrada[Fecha],MATCH(tblCalidadCalculada[[#This Row],[Muestra]],tblCalidadRegistrada[Muestra],0))</f>
        <v/>
      </c>
      <c r="C51" s="6">
        <f>INDEX(tblCalidadRegistrada[Sector hídrico],MATCH(tblCalidadCalculada[[#This Row],[Muestra]],tblCalidadRegistrada[Muestra],0))</f>
        <v/>
      </c>
      <c r="D51" s="6">
        <f>INDEX(tblCalidadRegistrada[Tratamiento],MATCH(tblCalidadCalculada[[#This Row],[Muestra]],tblCalidadRegistrada[Muestra],0))</f>
        <v/>
      </c>
      <c r="E51" s="6">
        <f>INDEX(tblCalidadRegistrada[Bloque],MATCH(tblCalidadCalculada[[#This Row],[Muestra]],tblCalidadRegistrada[Muestra],0))</f>
        <v/>
      </c>
      <c r="F51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51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51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51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51" s="6">
        <f>INDEX(tblCalidadRegistrada[Estado de la medición],MATCH(tblCalidadCalculada[[#This Row],[Muestra]],tblCalidadRegistrada[Muestra],0))</f>
        <v/>
      </c>
      <c r="K51" s="6">
        <f>INDEX(tblCalidadRegistrada[Origen del dato],MATCH(tblCalidadCalculada[[#This Row],[Muestra]],tblCalidadRegistrada[Muestra],0))</f>
        <v/>
      </c>
      <c r="L51" s="14">
        <f>INDEX(tblMSCalculada[Biomasa informada en el libro histórico (kg MS/ha)],MATCH(tblCalidadCalculada[[#This Row],[Muestra]],tblMSCalculada[Muestra],0))</f>
        <v/>
      </c>
      <c r="M51" s="14">
        <f>IF(tblCalidadCalculada[[#This Row],[Nitrógeno medido (%)]]="",tblCalidadCalculada[[#This Row],[Nitrógeno estimado (%)]],tblCalidadCalculada[[#This Row],[Nitrógeno medido (%)]])</f>
        <v/>
      </c>
      <c r="N51" s="14">
        <f>IF(tblCalidadCalculada[[#This Row],[Estado de la medición]]="estimated",INDEX(tblCalidadFaltante[Nitrógeno estimado (%)],MATCH(tblCalidadCalculada[[#This Row],[Muestra]],tblCalidadFaltante[Muestra],0)),"")</f>
        <v/>
      </c>
      <c r="O51" s="14">
        <f>IF(tblCalidadCalculada[[#This Row],[Estado de la medición]]="estimated",INDEX(tblCalidadFaltante[FDA estimada (%)],MATCH(tblCalidadCalculada[[#This Row],[Muestra]],tblCalidadFaltante[Muestra],0)),"")</f>
        <v/>
      </c>
      <c r="P51" s="14">
        <f>IF(tblCalidadCalculada[[#This Row],[Estado de la medición]]="estimated",INDEX(tblCalidadFaltante[FDN estimada (%)],MATCH(tblCalidadCalculada[[#This Row],[Muestra]],tblCalidadFaltante[Muestra],0)),"")</f>
        <v/>
      </c>
      <c r="Q51" s="14">
        <f>tblCalidadCalculada[[#This Row],[Biomasa informada enlazada (kg MS/ha)]]*tblCalidadCalculada[[#This Row],[Nitrógeno efectivo (%)]]/100</f>
        <v/>
      </c>
      <c r="R51" s="14">
        <f>4.8*(tblCalidadCalculada[[#This Row],[Biomasa informada enlazada (kg MS/ha)]]/1000)^(-0.32)</f>
        <v/>
      </c>
      <c r="S51" s="14">
        <f>tblCalidadCalculada[[#This Row],[Nitrógeno efectivo (%)]]/tblCalidadCalculada[[#This Row],[Concentración crítica de nitrógeno (%)]]</f>
        <v/>
      </c>
      <c r="T51" s="6" t="inlineStr">
        <is>
          <t>from_measured_quality</t>
        </is>
      </c>
    </row>
    <row r="52">
      <c r="A52" s="12" t="n">
        <v>48</v>
      </c>
      <c r="B52" s="13">
        <f>INDEX(tblCalidadRegistrada[Fecha],MATCH(tblCalidadCalculada[[#This Row],[Muestra]],tblCalidadRegistrada[Muestra],0))</f>
        <v/>
      </c>
      <c r="C52" s="6">
        <f>INDEX(tblCalidadRegistrada[Sector hídrico],MATCH(tblCalidadCalculada[[#This Row],[Muestra]],tblCalidadRegistrada[Muestra],0))</f>
        <v/>
      </c>
      <c r="D52" s="6">
        <f>INDEX(tblCalidadRegistrada[Tratamiento],MATCH(tblCalidadCalculada[[#This Row],[Muestra]],tblCalidadRegistrada[Muestra],0))</f>
        <v/>
      </c>
      <c r="E52" s="6">
        <f>INDEX(tblCalidadRegistrada[Bloque],MATCH(tblCalidadCalculada[[#This Row],[Muestra]],tblCalidadRegistrada[Muestra],0))</f>
        <v/>
      </c>
      <c r="F52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52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52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52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52" s="6">
        <f>INDEX(tblCalidadRegistrada[Estado de la medición],MATCH(tblCalidadCalculada[[#This Row],[Muestra]],tblCalidadRegistrada[Muestra],0))</f>
        <v/>
      </c>
      <c r="K52" s="6">
        <f>INDEX(tblCalidadRegistrada[Origen del dato],MATCH(tblCalidadCalculada[[#This Row],[Muestra]],tblCalidadRegistrada[Muestra],0))</f>
        <v/>
      </c>
      <c r="L52" s="14">
        <f>INDEX(tblMSCalculada[Biomasa informada en el libro histórico (kg MS/ha)],MATCH(tblCalidadCalculada[[#This Row],[Muestra]],tblMSCalculada[Muestra],0))</f>
        <v/>
      </c>
      <c r="M52" s="14">
        <f>IF(tblCalidadCalculada[[#This Row],[Nitrógeno medido (%)]]="",tblCalidadCalculada[[#This Row],[Nitrógeno estimado (%)]],tblCalidadCalculada[[#This Row],[Nitrógeno medido (%)]])</f>
        <v/>
      </c>
      <c r="N52" s="14">
        <f>IF(tblCalidadCalculada[[#This Row],[Estado de la medición]]="estimated",INDEX(tblCalidadFaltante[Nitrógeno estimado (%)],MATCH(tblCalidadCalculada[[#This Row],[Muestra]],tblCalidadFaltante[Muestra],0)),"")</f>
        <v/>
      </c>
      <c r="O52" s="14">
        <f>IF(tblCalidadCalculada[[#This Row],[Estado de la medición]]="estimated",INDEX(tblCalidadFaltante[FDA estimada (%)],MATCH(tblCalidadCalculada[[#This Row],[Muestra]],tblCalidadFaltante[Muestra],0)),"")</f>
        <v/>
      </c>
      <c r="P52" s="14">
        <f>IF(tblCalidadCalculada[[#This Row],[Estado de la medición]]="estimated",INDEX(tblCalidadFaltante[FDN estimada (%)],MATCH(tblCalidadCalculada[[#This Row],[Muestra]],tblCalidadFaltante[Muestra],0)),"")</f>
        <v/>
      </c>
      <c r="Q52" s="14">
        <f>tblCalidadCalculada[[#This Row],[Biomasa informada enlazada (kg MS/ha)]]*tblCalidadCalculada[[#This Row],[Nitrógeno efectivo (%)]]/100</f>
        <v/>
      </c>
      <c r="R52" s="14">
        <f>4.8*(tblCalidadCalculada[[#This Row],[Biomasa informada enlazada (kg MS/ha)]]/1000)^(-0.32)</f>
        <v/>
      </c>
      <c r="S52" s="14">
        <f>tblCalidadCalculada[[#This Row],[Nitrógeno efectivo (%)]]/tblCalidadCalculada[[#This Row],[Concentración crítica de nitrógeno (%)]]</f>
        <v/>
      </c>
      <c r="T52" s="6" t="inlineStr">
        <is>
          <t>from_measured_quality</t>
        </is>
      </c>
    </row>
    <row r="53">
      <c r="A53" s="12" t="n">
        <v>49</v>
      </c>
      <c r="B53" s="13">
        <f>INDEX(tblCalidadRegistrada[Fecha],MATCH(tblCalidadCalculada[[#This Row],[Muestra]],tblCalidadRegistrada[Muestra],0))</f>
        <v/>
      </c>
      <c r="C53" s="6">
        <f>INDEX(tblCalidadRegistrada[Sector hídrico],MATCH(tblCalidadCalculada[[#This Row],[Muestra]],tblCalidadRegistrada[Muestra],0))</f>
        <v/>
      </c>
      <c r="D53" s="6">
        <f>INDEX(tblCalidadRegistrada[Tratamiento],MATCH(tblCalidadCalculada[[#This Row],[Muestra]],tblCalidadRegistrada[Muestra],0))</f>
        <v/>
      </c>
      <c r="E53" s="6">
        <f>INDEX(tblCalidadRegistrada[Bloque],MATCH(tblCalidadCalculada[[#This Row],[Muestra]],tblCalidadRegistrada[Muestra],0))</f>
        <v/>
      </c>
      <c r="F53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53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53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53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53" s="6">
        <f>INDEX(tblCalidadRegistrada[Estado de la medición],MATCH(tblCalidadCalculada[[#This Row],[Muestra]],tblCalidadRegistrada[Muestra],0))</f>
        <v/>
      </c>
      <c r="K53" s="6">
        <f>INDEX(tblCalidadRegistrada[Origen del dato],MATCH(tblCalidadCalculada[[#This Row],[Muestra]],tblCalidadRegistrada[Muestra],0))</f>
        <v/>
      </c>
      <c r="L53" s="14">
        <f>INDEX(tblMSCalculada[Biomasa informada en el libro histórico (kg MS/ha)],MATCH(tblCalidadCalculada[[#This Row],[Muestra]],tblMSCalculada[Muestra],0))</f>
        <v/>
      </c>
      <c r="M53" s="14">
        <f>IF(tblCalidadCalculada[[#This Row],[Nitrógeno medido (%)]]="",tblCalidadCalculada[[#This Row],[Nitrógeno estimado (%)]],tblCalidadCalculada[[#This Row],[Nitrógeno medido (%)]])</f>
        <v/>
      </c>
      <c r="N53" s="14">
        <f>IF(tblCalidadCalculada[[#This Row],[Estado de la medición]]="estimated",INDEX(tblCalidadFaltante[Nitrógeno estimado (%)],MATCH(tblCalidadCalculada[[#This Row],[Muestra]],tblCalidadFaltante[Muestra],0)),"")</f>
        <v/>
      </c>
      <c r="O53" s="14">
        <f>IF(tblCalidadCalculada[[#This Row],[Estado de la medición]]="estimated",INDEX(tblCalidadFaltante[FDA estimada (%)],MATCH(tblCalidadCalculada[[#This Row],[Muestra]],tblCalidadFaltante[Muestra],0)),"")</f>
        <v/>
      </c>
      <c r="P53" s="14">
        <f>IF(tblCalidadCalculada[[#This Row],[Estado de la medición]]="estimated",INDEX(tblCalidadFaltante[FDN estimada (%)],MATCH(tblCalidadCalculada[[#This Row],[Muestra]],tblCalidadFaltante[Muestra],0)),"")</f>
        <v/>
      </c>
      <c r="Q53" s="14">
        <f>tblCalidadCalculada[[#This Row],[Biomasa informada enlazada (kg MS/ha)]]*tblCalidadCalculada[[#This Row],[Nitrógeno efectivo (%)]]/100</f>
        <v/>
      </c>
      <c r="R53" s="14">
        <f>4.8*(tblCalidadCalculada[[#This Row],[Biomasa informada enlazada (kg MS/ha)]]/1000)^(-0.32)</f>
        <v/>
      </c>
      <c r="S53" s="14">
        <f>tblCalidadCalculada[[#This Row],[Nitrógeno efectivo (%)]]/tblCalidadCalculada[[#This Row],[Concentración crítica de nitrógeno (%)]]</f>
        <v/>
      </c>
      <c r="T53" s="6" t="inlineStr">
        <is>
          <t>from_measured_quality</t>
        </is>
      </c>
    </row>
    <row r="54">
      <c r="A54" s="12" t="n">
        <v>50</v>
      </c>
      <c r="B54" s="13">
        <f>INDEX(tblCalidadRegistrada[Fecha],MATCH(tblCalidadCalculada[[#This Row],[Muestra]],tblCalidadRegistrada[Muestra],0))</f>
        <v/>
      </c>
      <c r="C54" s="6">
        <f>INDEX(tblCalidadRegistrada[Sector hídrico],MATCH(tblCalidadCalculada[[#This Row],[Muestra]],tblCalidadRegistrada[Muestra],0))</f>
        <v/>
      </c>
      <c r="D54" s="6">
        <f>INDEX(tblCalidadRegistrada[Tratamiento],MATCH(tblCalidadCalculada[[#This Row],[Muestra]],tblCalidadRegistrada[Muestra],0))</f>
        <v/>
      </c>
      <c r="E54" s="6">
        <f>INDEX(tblCalidadRegistrada[Bloque],MATCH(tblCalidadCalculada[[#This Row],[Muestra]],tblCalidadRegistrada[Muestra],0))</f>
        <v/>
      </c>
      <c r="F54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54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54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54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54" s="6">
        <f>INDEX(tblCalidadRegistrada[Estado de la medición],MATCH(tblCalidadCalculada[[#This Row],[Muestra]],tblCalidadRegistrada[Muestra],0))</f>
        <v/>
      </c>
      <c r="K54" s="6">
        <f>INDEX(tblCalidadRegistrada[Origen del dato],MATCH(tblCalidadCalculada[[#This Row],[Muestra]],tblCalidadRegistrada[Muestra],0))</f>
        <v/>
      </c>
      <c r="L54" s="14">
        <f>INDEX(tblMSCalculada[Biomasa informada en el libro histórico (kg MS/ha)],MATCH(tblCalidadCalculada[[#This Row],[Muestra]],tblMSCalculada[Muestra],0))</f>
        <v/>
      </c>
      <c r="M54" s="14">
        <f>IF(tblCalidadCalculada[[#This Row],[Nitrógeno medido (%)]]="",tblCalidadCalculada[[#This Row],[Nitrógeno estimado (%)]],tblCalidadCalculada[[#This Row],[Nitrógeno medido (%)]])</f>
        <v/>
      </c>
      <c r="N54" s="14">
        <f>IF(tblCalidadCalculada[[#This Row],[Estado de la medición]]="estimated",INDEX(tblCalidadFaltante[Nitrógeno estimado (%)],MATCH(tblCalidadCalculada[[#This Row],[Muestra]],tblCalidadFaltante[Muestra],0)),"")</f>
        <v/>
      </c>
      <c r="O54" s="14">
        <f>IF(tblCalidadCalculada[[#This Row],[Estado de la medición]]="estimated",INDEX(tblCalidadFaltante[FDA estimada (%)],MATCH(tblCalidadCalculada[[#This Row],[Muestra]],tblCalidadFaltante[Muestra],0)),"")</f>
        <v/>
      </c>
      <c r="P54" s="14">
        <f>IF(tblCalidadCalculada[[#This Row],[Estado de la medición]]="estimated",INDEX(tblCalidadFaltante[FDN estimada (%)],MATCH(tblCalidadCalculada[[#This Row],[Muestra]],tblCalidadFaltante[Muestra],0)),"")</f>
        <v/>
      </c>
      <c r="Q54" s="14">
        <f>tblCalidadCalculada[[#This Row],[Biomasa informada enlazada (kg MS/ha)]]*tblCalidadCalculada[[#This Row],[Nitrógeno efectivo (%)]]/100</f>
        <v/>
      </c>
      <c r="R54" s="14">
        <f>4.8*(tblCalidadCalculada[[#This Row],[Biomasa informada enlazada (kg MS/ha)]]/1000)^(-0.32)</f>
        <v/>
      </c>
      <c r="S54" s="14">
        <f>tblCalidadCalculada[[#This Row],[Nitrógeno efectivo (%)]]/tblCalidadCalculada[[#This Row],[Concentración crítica de nitrógeno (%)]]</f>
        <v/>
      </c>
      <c r="T54" s="6" t="inlineStr">
        <is>
          <t>from_measured_quality</t>
        </is>
      </c>
    </row>
    <row r="55">
      <c r="A55" s="12" t="n">
        <v>51</v>
      </c>
      <c r="B55" s="13">
        <f>INDEX(tblCalidadRegistrada[Fecha],MATCH(tblCalidadCalculada[[#This Row],[Muestra]],tblCalidadRegistrada[Muestra],0))</f>
        <v/>
      </c>
      <c r="C55" s="6">
        <f>INDEX(tblCalidadRegistrada[Sector hídrico],MATCH(tblCalidadCalculada[[#This Row],[Muestra]],tblCalidadRegistrada[Muestra],0))</f>
        <v/>
      </c>
      <c r="D55" s="6">
        <f>INDEX(tblCalidadRegistrada[Tratamiento],MATCH(tblCalidadCalculada[[#This Row],[Muestra]],tblCalidadRegistrada[Muestra],0))</f>
        <v/>
      </c>
      <c r="E55" s="6">
        <f>INDEX(tblCalidadRegistrada[Bloque],MATCH(tblCalidadCalculada[[#This Row],[Muestra]],tblCalidadRegistrada[Muestra],0))</f>
        <v/>
      </c>
      <c r="F55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55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55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55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55" s="6">
        <f>INDEX(tblCalidadRegistrada[Estado de la medición],MATCH(tblCalidadCalculada[[#This Row],[Muestra]],tblCalidadRegistrada[Muestra],0))</f>
        <v/>
      </c>
      <c r="K55" s="6">
        <f>INDEX(tblCalidadRegistrada[Origen del dato],MATCH(tblCalidadCalculada[[#This Row],[Muestra]],tblCalidadRegistrada[Muestra],0))</f>
        <v/>
      </c>
      <c r="L55" s="14">
        <f>INDEX(tblMSCalculada[Biomasa informada en el libro histórico (kg MS/ha)],MATCH(tblCalidadCalculada[[#This Row],[Muestra]],tblMSCalculada[Muestra],0))</f>
        <v/>
      </c>
      <c r="M55" s="14">
        <f>IF(tblCalidadCalculada[[#This Row],[Nitrógeno medido (%)]]="",tblCalidadCalculada[[#This Row],[Nitrógeno estimado (%)]],tblCalidadCalculada[[#This Row],[Nitrógeno medido (%)]])</f>
        <v/>
      </c>
      <c r="N55" s="14">
        <f>IF(tblCalidadCalculada[[#This Row],[Estado de la medición]]="estimated",INDEX(tblCalidadFaltante[Nitrógeno estimado (%)],MATCH(tblCalidadCalculada[[#This Row],[Muestra]],tblCalidadFaltante[Muestra],0)),"")</f>
        <v/>
      </c>
      <c r="O55" s="14">
        <f>IF(tblCalidadCalculada[[#This Row],[Estado de la medición]]="estimated",INDEX(tblCalidadFaltante[FDA estimada (%)],MATCH(tblCalidadCalculada[[#This Row],[Muestra]],tblCalidadFaltante[Muestra],0)),"")</f>
        <v/>
      </c>
      <c r="P55" s="14">
        <f>IF(tblCalidadCalculada[[#This Row],[Estado de la medición]]="estimated",INDEX(tblCalidadFaltante[FDN estimada (%)],MATCH(tblCalidadCalculada[[#This Row],[Muestra]],tblCalidadFaltante[Muestra],0)),"")</f>
        <v/>
      </c>
      <c r="Q55" s="14">
        <f>tblCalidadCalculada[[#This Row],[Biomasa informada enlazada (kg MS/ha)]]*tblCalidadCalculada[[#This Row],[Nitrógeno efectivo (%)]]/100</f>
        <v/>
      </c>
      <c r="R55" s="14">
        <f>4.8*(tblCalidadCalculada[[#This Row],[Biomasa informada enlazada (kg MS/ha)]]/1000)^(-0.32)</f>
        <v/>
      </c>
      <c r="S55" s="14">
        <f>tblCalidadCalculada[[#This Row],[Nitrógeno efectivo (%)]]/tblCalidadCalculada[[#This Row],[Concentración crítica de nitrógeno (%)]]</f>
        <v/>
      </c>
      <c r="T55" s="6" t="inlineStr">
        <is>
          <t>from_measured_quality</t>
        </is>
      </c>
    </row>
    <row r="56">
      <c r="A56" s="12" t="n">
        <v>52</v>
      </c>
      <c r="B56" s="13">
        <f>INDEX(tblCalidadRegistrada[Fecha],MATCH(tblCalidadCalculada[[#This Row],[Muestra]],tblCalidadRegistrada[Muestra],0))</f>
        <v/>
      </c>
      <c r="C56" s="6">
        <f>INDEX(tblCalidadRegistrada[Sector hídrico],MATCH(tblCalidadCalculada[[#This Row],[Muestra]],tblCalidadRegistrada[Muestra],0))</f>
        <v/>
      </c>
      <c r="D56" s="6">
        <f>INDEX(tblCalidadRegistrada[Tratamiento],MATCH(tblCalidadCalculada[[#This Row],[Muestra]],tblCalidadRegistrada[Muestra],0))</f>
        <v/>
      </c>
      <c r="E56" s="6">
        <f>INDEX(tblCalidadRegistrada[Bloque],MATCH(tblCalidadCalculada[[#This Row],[Muestra]],tblCalidadRegistrada[Muestra],0))</f>
        <v/>
      </c>
      <c r="F56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56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56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56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56" s="6">
        <f>INDEX(tblCalidadRegistrada[Estado de la medición],MATCH(tblCalidadCalculada[[#This Row],[Muestra]],tblCalidadRegistrada[Muestra],0))</f>
        <v/>
      </c>
      <c r="K56" s="6">
        <f>INDEX(tblCalidadRegistrada[Origen del dato],MATCH(tblCalidadCalculada[[#This Row],[Muestra]],tblCalidadRegistrada[Muestra],0))</f>
        <v/>
      </c>
      <c r="L56" s="14">
        <f>INDEX(tblMSCalculada[Biomasa informada en el libro histórico (kg MS/ha)],MATCH(tblCalidadCalculada[[#This Row],[Muestra]],tblMSCalculada[Muestra],0))</f>
        <v/>
      </c>
      <c r="M56" s="14">
        <f>IF(tblCalidadCalculada[[#This Row],[Nitrógeno medido (%)]]="",tblCalidadCalculada[[#This Row],[Nitrógeno estimado (%)]],tblCalidadCalculada[[#This Row],[Nitrógeno medido (%)]])</f>
        <v/>
      </c>
      <c r="N56" s="14">
        <f>IF(tblCalidadCalculada[[#This Row],[Estado de la medición]]="estimated",INDEX(tblCalidadFaltante[Nitrógeno estimado (%)],MATCH(tblCalidadCalculada[[#This Row],[Muestra]],tblCalidadFaltante[Muestra],0)),"")</f>
        <v/>
      </c>
      <c r="O56" s="14">
        <f>IF(tblCalidadCalculada[[#This Row],[Estado de la medición]]="estimated",INDEX(tblCalidadFaltante[FDA estimada (%)],MATCH(tblCalidadCalculada[[#This Row],[Muestra]],tblCalidadFaltante[Muestra],0)),"")</f>
        <v/>
      </c>
      <c r="P56" s="14">
        <f>IF(tblCalidadCalculada[[#This Row],[Estado de la medición]]="estimated",INDEX(tblCalidadFaltante[FDN estimada (%)],MATCH(tblCalidadCalculada[[#This Row],[Muestra]],tblCalidadFaltante[Muestra],0)),"")</f>
        <v/>
      </c>
      <c r="Q56" s="14">
        <f>tblCalidadCalculada[[#This Row],[Biomasa informada enlazada (kg MS/ha)]]*tblCalidadCalculada[[#This Row],[Nitrógeno efectivo (%)]]/100</f>
        <v/>
      </c>
      <c r="R56" s="14">
        <f>4.8*(tblCalidadCalculada[[#This Row],[Biomasa informada enlazada (kg MS/ha)]]/1000)^(-0.32)</f>
        <v/>
      </c>
      <c r="S56" s="14">
        <f>tblCalidadCalculada[[#This Row],[Nitrógeno efectivo (%)]]/tblCalidadCalculada[[#This Row],[Concentración crítica de nitrógeno (%)]]</f>
        <v/>
      </c>
      <c r="T56" s="6" t="inlineStr">
        <is>
          <t>from_measured_quality</t>
        </is>
      </c>
    </row>
    <row r="57">
      <c r="A57" s="12" t="n">
        <v>53</v>
      </c>
      <c r="B57" s="13">
        <f>INDEX(tblCalidadRegistrada[Fecha],MATCH(tblCalidadCalculada[[#This Row],[Muestra]],tblCalidadRegistrada[Muestra],0))</f>
        <v/>
      </c>
      <c r="C57" s="6">
        <f>INDEX(tblCalidadRegistrada[Sector hídrico],MATCH(tblCalidadCalculada[[#This Row],[Muestra]],tblCalidadRegistrada[Muestra],0))</f>
        <v/>
      </c>
      <c r="D57" s="6">
        <f>INDEX(tblCalidadRegistrada[Tratamiento],MATCH(tblCalidadCalculada[[#This Row],[Muestra]],tblCalidadRegistrada[Muestra],0))</f>
        <v/>
      </c>
      <c r="E57" s="6">
        <f>INDEX(tblCalidadRegistrada[Bloque],MATCH(tblCalidadCalculada[[#This Row],[Muestra]],tblCalidadRegistrada[Muestra],0))</f>
        <v/>
      </c>
      <c r="F57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57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57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57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57" s="6">
        <f>INDEX(tblCalidadRegistrada[Estado de la medición],MATCH(tblCalidadCalculada[[#This Row],[Muestra]],tblCalidadRegistrada[Muestra],0))</f>
        <v/>
      </c>
      <c r="K57" s="6">
        <f>INDEX(tblCalidadRegistrada[Origen del dato],MATCH(tblCalidadCalculada[[#This Row],[Muestra]],tblCalidadRegistrada[Muestra],0))</f>
        <v/>
      </c>
      <c r="L57" s="14">
        <f>INDEX(tblMSCalculada[Biomasa informada en el libro histórico (kg MS/ha)],MATCH(tblCalidadCalculada[[#This Row],[Muestra]],tblMSCalculada[Muestra],0))</f>
        <v/>
      </c>
      <c r="M57" s="14">
        <f>IF(tblCalidadCalculada[[#This Row],[Nitrógeno medido (%)]]="",tblCalidadCalculada[[#This Row],[Nitrógeno estimado (%)]],tblCalidadCalculada[[#This Row],[Nitrógeno medido (%)]])</f>
        <v/>
      </c>
      <c r="N57" s="14">
        <f>IF(tblCalidadCalculada[[#This Row],[Estado de la medición]]="estimated",INDEX(tblCalidadFaltante[Nitrógeno estimado (%)],MATCH(tblCalidadCalculada[[#This Row],[Muestra]],tblCalidadFaltante[Muestra],0)),"")</f>
        <v/>
      </c>
      <c r="O57" s="14">
        <f>IF(tblCalidadCalculada[[#This Row],[Estado de la medición]]="estimated",INDEX(tblCalidadFaltante[FDA estimada (%)],MATCH(tblCalidadCalculada[[#This Row],[Muestra]],tblCalidadFaltante[Muestra],0)),"")</f>
        <v/>
      </c>
      <c r="P57" s="14">
        <f>IF(tblCalidadCalculada[[#This Row],[Estado de la medición]]="estimated",INDEX(tblCalidadFaltante[FDN estimada (%)],MATCH(tblCalidadCalculada[[#This Row],[Muestra]],tblCalidadFaltante[Muestra],0)),"")</f>
        <v/>
      </c>
      <c r="Q57" s="14">
        <f>tblCalidadCalculada[[#This Row],[Biomasa informada enlazada (kg MS/ha)]]*tblCalidadCalculada[[#This Row],[Nitrógeno efectivo (%)]]/100</f>
        <v/>
      </c>
      <c r="R57" s="14">
        <f>4.8*(tblCalidadCalculada[[#This Row],[Biomasa informada enlazada (kg MS/ha)]]/1000)^(-0.32)</f>
        <v/>
      </c>
      <c r="S57" s="14">
        <f>tblCalidadCalculada[[#This Row],[Nitrógeno efectivo (%)]]/tblCalidadCalculada[[#This Row],[Concentración crítica de nitrógeno (%)]]</f>
        <v/>
      </c>
      <c r="T57" s="6" t="inlineStr">
        <is>
          <t>from_measured_quality</t>
        </is>
      </c>
    </row>
    <row r="58">
      <c r="A58" s="12" t="n">
        <v>54</v>
      </c>
      <c r="B58" s="13">
        <f>INDEX(tblCalidadRegistrada[Fecha],MATCH(tblCalidadCalculada[[#This Row],[Muestra]],tblCalidadRegistrada[Muestra],0))</f>
        <v/>
      </c>
      <c r="C58" s="6">
        <f>INDEX(tblCalidadRegistrada[Sector hídrico],MATCH(tblCalidadCalculada[[#This Row],[Muestra]],tblCalidadRegistrada[Muestra],0))</f>
        <v/>
      </c>
      <c r="D58" s="6">
        <f>INDEX(tblCalidadRegistrada[Tratamiento],MATCH(tblCalidadCalculada[[#This Row],[Muestra]],tblCalidadRegistrada[Muestra],0))</f>
        <v/>
      </c>
      <c r="E58" s="6">
        <f>INDEX(tblCalidadRegistrada[Bloque],MATCH(tblCalidadCalculada[[#This Row],[Muestra]],tblCalidadRegistrada[Muestra],0))</f>
        <v/>
      </c>
      <c r="F58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58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58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58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58" s="6">
        <f>INDEX(tblCalidadRegistrada[Estado de la medición],MATCH(tblCalidadCalculada[[#This Row],[Muestra]],tblCalidadRegistrada[Muestra],0))</f>
        <v/>
      </c>
      <c r="K58" s="6">
        <f>INDEX(tblCalidadRegistrada[Origen del dato],MATCH(tblCalidadCalculada[[#This Row],[Muestra]],tblCalidadRegistrada[Muestra],0))</f>
        <v/>
      </c>
      <c r="L58" s="14">
        <f>INDEX(tblMSCalculada[Biomasa informada en el libro histórico (kg MS/ha)],MATCH(tblCalidadCalculada[[#This Row],[Muestra]],tblMSCalculada[Muestra],0))</f>
        <v/>
      </c>
      <c r="M58" s="14">
        <f>IF(tblCalidadCalculada[[#This Row],[Nitrógeno medido (%)]]="",tblCalidadCalculada[[#This Row],[Nitrógeno estimado (%)]],tblCalidadCalculada[[#This Row],[Nitrógeno medido (%)]])</f>
        <v/>
      </c>
      <c r="N58" s="14">
        <f>IF(tblCalidadCalculada[[#This Row],[Estado de la medición]]="estimated",INDEX(tblCalidadFaltante[Nitrógeno estimado (%)],MATCH(tblCalidadCalculada[[#This Row],[Muestra]],tblCalidadFaltante[Muestra],0)),"")</f>
        <v/>
      </c>
      <c r="O58" s="14">
        <f>IF(tblCalidadCalculada[[#This Row],[Estado de la medición]]="estimated",INDEX(tblCalidadFaltante[FDA estimada (%)],MATCH(tblCalidadCalculada[[#This Row],[Muestra]],tblCalidadFaltante[Muestra],0)),"")</f>
        <v/>
      </c>
      <c r="P58" s="14">
        <f>IF(tblCalidadCalculada[[#This Row],[Estado de la medición]]="estimated",INDEX(tblCalidadFaltante[FDN estimada (%)],MATCH(tblCalidadCalculada[[#This Row],[Muestra]],tblCalidadFaltante[Muestra],0)),"")</f>
        <v/>
      </c>
      <c r="Q58" s="14">
        <f>tblCalidadCalculada[[#This Row],[Biomasa informada enlazada (kg MS/ha)]]*tblCalidadCalculada[[#This Row],[Nitrógeno efectivo (%)]]/100</f>
        <v/>
      </c>
      <c r="R58" s="14">
        <f>4.8*(tblCalidadCalculada[[#This Row],[Biomasa informada enlazada (kg MS/ha)]]/1000)^(-0.32)</f>
        <v/>
      </c>
      <c r="S58" s="14">
        <f>tblCalidadCalculada[[#This Row],[Nitrógeno efectivo (%)]]/tblCalidadCalculada[[#This Row],[Concentración crítica de nitrógeno (%)]]</f>
        <v/>
      </c>
      <c r="T58" s="6" t="inlineStr">
        <is>
          <t>from_measured_quality</t>
        </is>
      </c>
    </row>
    <row r="59">
      <c r="A59" s="12" t="n">
        <v>55</v>
      </c>
      <c r="B59" s="13">
        <f>INDEX(tblCalidadRegistrada[Fecha],MATCH(tblCalidadCalculada[[#This Row],[Muestra]],tblCalidadRegistrada[Muestra],0))</f>
        <v/>
      </c>
      <c r="C59" s="6">
        <f>INDEX(tblCalidadRegistrada[Sector hídrico],MATCH(tblCalidadCalculada[[#This Row],[Muestra]],tblCalidadRegistrada[Muestra],0))</f>
        <v/>
      </c>
      <c r="D59" s="6">
        <f>INDEX(tblCalidadRegistrada[Tratamiento],MATCH(tblCalidadCalculada[[#This Row],[Muestra]],tblCalidadRegistrada[Muestra],0))</f>
        <v/>
      </c>
      <c r="E59" s="6">
        <f>INDEX(tblCalidadRegistrada[Bloque],MATCH(tblCalidadCalculada[[#This Row],[Muestra]],tblCalidadRegistrada[Muestra],0))</f>
        <v/>
      </c>
      <c r="F59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59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59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59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59" s="6">
        <f>INDEX(tblCalidadRegistrada[Estado de la medición],MATCH(tblCalidadCalculada[[#This Row],[Muestra]],tblCalidadRegistrada[Muestra],0))</f>
        <v/>
      </c>
      <c r="K59" s="6">
        <f>INDEX(tblCalidadRegistrada[Origen del dato],MATCH(tblCalidadCalculada[[#This Row],[Muestra]],tblCalidadRegistrada[Muestra],0))</f>
        <v/>
      </c>
      <c r="L59" s="14">
        <f>INDEX(tblMSCalculada[Biomasa informada en el libro histórico (kg MS/ha)],MATCH(tblCalidadCalculada[[#This Row],[Muestra]],tblMSCalculada[Muestra],0))</f>
        <v/>
      </c>
      <c r="M59" s="14">
        <f>IF(tblCalidadCalculada[[#This Row],[Nitrógeno medido (%)]]="",tblCalidadCalculada[[#This Row],[Nitrógeno estimado (%)]],tblCalidadCalculada[[#This Row],[Nitrógeno medido (%)]])</f>
        <v/>
      </c>
      <c r="N59" s="14">
        <f>IF(tblCalidadCalculada[[#This Row],[Estado de la medición]]="estimated",INDEX(tblCalidadFaltante[Nitrógeno estimado (%)],MATCH(tblCalidadCalculada[[#This Row],[Muestra]],tblCalidadFaltante[Muestra],0)),"")</f>
        <v/>
      </c>
      <c r="O59" s="14">
        <f>IF(tblCalidadCalculada[[#This Row],[Estado de la medición]]="estimated",INDEX(tblCalidadFaltante[FDA estimada (%)],MATCH(tblCalidadCalculada[[#This Row],[Muestra]],tblCalidadFaltante[Muestra],0)),"")</f>
        <v/>
      </c>
      <c r="P59" s="14">
        <f>IF(tblCalidadCalculada[[#This Row],[Estado de la medición]]="estimated",INDEX(tblCalidadFaltante[FDN estimada (%)],MATCH(tblCalidadCalculada[[#This Row],[Muestra]],tblCalidadFaltante[Muestra],0)),"")</f>
        <v/>
      </c>
      <c r="Q59" s="14">
        <f>tblCalidadCalculada[[#This Row],[Biomasa informada enlazada (kg MS/ha)]]*tblCalidadCalculada[[#This Row],[Nitrógeno efectivo (%)]]/100</f>
        <v/>
      </c>
      <c r="R59" s="14">
        <f>4.8*(tblCalidadCalculada[[#This Row],[Biomasa informada enlazada (kg MS/ha)]]/1000)^(-0.32)</f>
        <v/>
      </c>
      <c r="S59" s="14">
        <f>tblCalidadCalculada[[#This Row],[Nitrógeno efectivo (%)]]/tblCalidadCalculada[[#This Row],[Concentración crítica de nitrógeno (%)]]</f>
        <v/>
      </c>
      <c r="T59" s="6" t="inlineStr">
        <is>
          <t>from_measured_quality</t>
        </is>
      </c>
    </row>
    <row r="60">
      <c r="A60" s="12" t="n">
        <v>56</v>
      </c>
      <c r="B60" s="13">
        <f>INDEX(tblCalidadRegistrada[Fecha],MATCH(tblCalidadCalculada[[#This Row],[Muestra]],tblCalidadRegistrada[Muestra],0))</f>
        <v/>
      </c>
      <c r="C60" s="6">
        <f>INDEX(tblCalidadRegistrada[Sector hídrico],MATCH(tblCalidadCalculada[[#This Row],[Muestra]],tblCalidadRegistrada[Muestra],0))</f>
        <v/>
      </c>
      <c r="D60" s="6">
        <f>INDEX(tblCalidadRegistrada[Tratamiento],MATCH(tblCalidadCalculada[[#This Row],[Muestra]],tblCalidadRegistrada[Muestra],0))</f>
        <v/>
      </c>
      <c r="E60" s="6">
        <f>INDEX(tblCalidadRegistrada[Bloque],MATCH(tblCalidadCalculada[[#This Row],[Muestra]],tblCalidadRegistrada[Muestra],0))</f>
        <v/>
      </c>
      <c r="F60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60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60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60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60" s="6">
        <f>INDEX(tblCalidadRegistrada[Estado de la medición],MATCH(tblCalidadCalculada[[#This Row],[Muestra]],tblCalidadRegistrada[Muestra],0))</f>
        <v/>
      </c>
      <c r="K60" s="6">
        <f>INDEX(tblCalidadRegistrada[Origen del dato],MATCH(tblCalidadCalculada[[#This Row],[Muestra]],tblCalidadRegistrada[Muestra],0))</f>
        <v/>
      </c>
      <c r="L60" s="14">
        <f>INDEX(tblMSCalculada[Biomasa informada en el libro histórico (kg MS/ha)],MATCH(tblCalidadCalculada[[#This Row],[Muestra]],tblMSCalculada[Muestra],0))</f>
        <v/>
      </c>
      <c r="M60" s="14">
        <f>IF(tblCalidadCalculada[[#This Row],[Nitrógeno medido (%)]]="",tblCalidadCalculada[[#This Row],[Nitrógeno estimado (%)]],tblCalidadCalculada[[#This Row],[Nitrógeno medido (%)]])</f>
        <v/>
      </c>
      <c r="N60" s="14">
        <f>IF(tblCalidadCalculada[[#This Row],[Estado de la medición]]="estimated",INDEX(tblCalidadFaltante[Nitrógeno estimado (%)],MATCH(tblCalidadCalculada[[#This Row],[Muestra]],tblCalidadFaltante[Muestra],0)),"")</f>
        <v/>
      </c>
      <c r="O60" s="14">
        <f>IF(tblCalidadCalculada[[#This Row],[Estado de la medición]]="estimated",INDEX(tblCalidadFaltante[FDA estimada (%)],MATCH(tblCalidadCalculada[[#This Row],[Muestra]],tblCalidadFaltante[Muestra],0)),"")</f>
        <v/>
      </c>
      <c r="P60" s="14">
        <f>IF(tblCalidadCalculada[[#This Row],[Estado de la medición]]="estimated",INDEX(tblCalidadFaltante[FDN estimada (%)],MATCH(tblCalidadCalculada[[#This Row],[Muestra]],tblCalidadFaltante[Muestra],0)),"")</f>
        <v/>
      </c>
      <c r="Q60" s="14">
        <f>tblCalidadCalculada[[#This Row],[Biomasa informada enlazada (kg MS/ha)]]*tblCalidadCalculada[[#This Row],[Nitrógeno efectivo (%)]]/100</f>
        <v/>
      </c>
      <c r="R60" s="14">
        <f>4.8*(tblCalidadCalculada[[#This Row],[Biomasa informada enlazada (kg MS/ha)]]/1000)^(-0.32)</f>
        <v/>
      </c>
      <c r="S60" s="14">
        <f>tblCalidadCalculada[[#This Row],[Nitrógeno efectivo (%)]]/tblCalidadCalculada[[#This Row],[Concentración crítica de nitrógeno (%)]]</f>
        <v/>
      </c>
      <c r="T60" s="6" t="inlineStr">
        <is>
          <t>from_measured_quality</t>
        </is>
      </c>
    </row>
    <row r="61">
      <c r="A61" s="12" t="n">
        <v>57</v>
      </c>
      <c r="B61" s="13">
        <f>INDEX(tblCalidadRegistrada[Fecha],MATCH(tblCalidadCalculada[[#This Row],[Muestra]],tblCalidadRegistrada[Muestra],0))</f>
        <v/>
      </c>
      <c r="C61" s="6">
        <f>INDEX(tblCalidadRegistrada[Sector hídrico],MATCH(tblCalidadCalculada[[#This Row],[Muestra]],tblCalidadRegistrada[Muestra],0))</f>
        <v/>
      </c>
      <c r="D61" s="6">
        <f>INDEX(tblCalidadRegistrada[Tratamiento],MATCH(tblCalidadCalculada[[#This Row],[Muestra]],tblCalidadRegistrada[Muestra],0))</f>
        <v/>
      </c>
      <c r="E61" s="6">
        <f>INDEX(tblCalidadRegistrada[Bloque],MATCH(tblCalidadCalculada[[#This Row],[Muestra]],tblCalidadRegistrada[Muestra],0))</f>
        <v/>
      </c>
      <c r="F61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61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61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61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61" s="6">
        <f>INDEX(tblCalidadRegistrada[Estado de la medición],MATCH(tblCalidadCalculada[[#This Row],[Muestra]],tblCalidadRegistrada[Muestra],0))</f>
        <v/>
      </c>
      <c r="K61" s="6">
        <f>INDEX(tblCalidadRegistrada[Origen del dato],MATCH(tblCalidadCalculada[[#This Row],[Muestra]],tblCalidadRegistrada[Muestra],0))</f>
        <v/>
      </c>
      <c r="L61" s="14">
        <f>INDEX(tblMSCalculada[Biomasa informada en el libro histórico (kg MS/ha)],MATCH(tblCalidadCalculada[[#This Row],[Muestra]],tblMSCalculada[Muestra],0))</f>
        <v/>
      </c>
      <c r="M61" s="14">
        <f>IF(tblCalidadCalculada[[#This Row],[Nitrógeno medido (%)]]="",tblCalidadCalculada[[#This Row],[Nitrógeno estimado (%)]],tblCalidadCalculada[[#This Row],[Nitrógeno medido (%)]])</f>
        <v/>
      </c>
      <c r="N61" s="14">
        <f>IF(tblCalidadCalculada[[#This Row],[Estado de la medición]]="estimated",INDEX(tblCalidadFaltante[Nitrógeno estimado (%)],MATCH(tblCalidadCalculada[[#This Row],[Muestra]],tblCalidadFaltante[Muestra],0)),"")</f>
        <v/>
      </c>
      <c r="O61" s="14">
        <f>IF(tblCalidadCalculada[[#This Row],[Estado de la medición]]="estimated",INDEX(tblCalidadFaltante[FDA estimada (%)],MATCH(tblCalidadCalculada[[#This Row],[Muestra]],tblCalidadFaltante[Muestra],0)),"")</f>
        <v/>
      </c>
      <c r="P61" s="14">
        <f>IF(tblCalidadCalculada[[#This Row],[Estado de la medición]]="estimated",INDEX(tblCalidadFaltante[FDN estimada (%)],MATCH(tblCalidadCalculada[[#This Row],[Muestra]],tblCalidadFaltante[Muestra],0)),"")</f>
        <v/>
      </c>
      <c r="Q61" s="14">
        <f>tblCalidadCalculada[[#This Row],[Biomasa informada enlazada (kg MS/ha)]]*tblCalidadCalculada[[#This Row],[Nitrógeno efectivo (%)]]/100</f>
        <v/>
      </c>
      <c r="R61" s="14">
        <f>4.8*(tblCalidadCalculada[[#This Row],[Biomasa informada enlazada (kg MS/ha)]]/1000)^(-0.32)</f>
        <v/>
      </c>
      <c r="S61" s="14">
        <f>tblCalidadCalculada[[#This Row],[Nitrógeno efectivo (%)]]/tblCalidadCalculada[[#This Row],[Concentración crítica de nitrógeno (%)]]</f>
        <v/>
      </c>
      <c r="T61" s="6" t="inlineStr">
        <is>
          <t>from_measured_quality</t>
        </is>
      </c>
    </row>
    <row r="62">
      <c r="A62" s="12" t="n">
        <v>58</v>
      </c>
      <c r="B62" s="13">
        <f>INDEX(tblCalidadRegistrada[Fecha],MATCH(tblCalidadCalculada[[#This Row],[Muestra]],tblCalidadRegistrada[Muestra],0))</f>
        <v/>
      </c>
      <c r="C62" s="6">
        <f>INDEX(tblCalidadRegistrada[Sector hídrico],MATCH(tblCalidadCalculada[[#This Row],[Muestra]],tblCalidadRegistrada[Muestra],0))</f>
        <v/>
      </c>
      <c r="D62" s="6">
        <f>INDEX(tblCalidadRegistrada[Tratamiento],MATCH(tblCalidadCalculada[[#This Row],[Muestra]],tblCalidadRegistrada[Muestra],0))</f>
        <v/>
      </c>
      <c r="E62" s="6">
        <f>INDEX(tblCalidadRegistrada[Bloque],MATCH(tblCalidadCalculada[[#This Row],[Muestra]],tblCalidadRegistrada[Muestra],0))</f>
        <v/>
      </c>
      <c r="F62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62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62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62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62" s="6">
        <f>INDEX(tblCalidadRegistrada[Estado de la medición],MATCH(tblCalidadCalculada[[#This Row],[Muestra]],tblCalidadRegistrada[Muestra],0))</f>
        <v/>
      </c>
      <c r="K62" s="6">
        <f>INDEX(tblCalidadRegistrada[Origen del dato],MATCH(tblCalidadCalculada[[#This Row],[Muestra]],tblCalidadRegistrada[Muestra],0))</f>
        <v/>
      </c>
      <c r="L62" s="14">
        <f>INDEX(tblMSCalculada[Biomasa informada en el libro histórico (kg MS/ha)],MATCH(tblCalidadCalculada[[#This Row],[Muestra]],tblMSCalculada[Muestra],0))</f>
        <v/>
      </c>
      <c r="M62" s="14">
        <f>IF(tblCalidadCalculada[[#This Row],[Nitrógeno medido (%)]]="",tblCalidadCalculada[[#This Row],[Nitrógeno estimado (%)]],tblCalidadCalculada[[#This Row],[Nitrógeno medido (%)]])</f>
        <v/>
      </c>
      <c r="N62" s="14">
        <f>IF(tblCalidadCalculada[[#This Row],[Estado de la medición]]="estimated",INDEX(tblCalidadFaltante[Nitrógeno estimado (%)],MATCH(tblCalidadCalculada[[#This Row],[Muestra]],tblCalidadFaltante[Muestra],0)),"")</f>
        <v/>
      </c>
      <c r="O62" s="14">
        <f>IF(tblCalidadCalculada[[#This Row],[Estado de la medición]]="estimated",INDEX(tblCalidadFaltante[FDA estimada (%)],MATCH(tblCalidadCalculada[[#This Row],[Muestra]],tblCalidadFaltante[Muestra],0)),"")</f>
        <v/>
      </c>
      <c r="P62" s="14">
        <f>IF(tblCalidadCalculada[[#This Row],[Estado de la medición]]="estimated",INDEX(tblCalidadFaltante[FDN estimada (%)],MATCH(tblCalidadCalculada[[#This Row],[Muestra]],tblCalidadFaltante[Muestra],0)),"")</f>
        <v/>
      </c>
      <c r="Q62" s="14">
        <f>tblCalidadCalculada[[#This Row],[Biomasa informada enlazada (kg MS/ha)]]*tblCalidadCalculada[[#This Row],[Nitrógeno efectivo (%)]]/100</f>
        <v/>
      </c>
      <c r="R62" s="14">
        <f>4.8*(tblCalidadCalculada[[#This Row],[Biomasa informada enlazada (kg MS/ha)]]/1000)^(-0.32)</f>
        <v/>
      </c>
      <c r="S62" s="14">
        <f>tblCalidadCalculada[[#This Row],[Nitrógeno efectivo (%)]]/tblCalidadCalculada[[#This Row],[Concentración crítica de nitrógeno (%)]]</f>
        <v/>
      </c>
      <c r="T62" s="6" t="inlineStr">
        <is>
          <t>from_measured_quality</t>
        </is>
      </c>
    </row>
    <row r="63">
      <c r="A63" s="12" t="n">
        <v>59</v>
      </c>
      <c r="B63" s="13">
        <f>INDEX(tblCalidadRegistrada[Fecha],MATCH(tblCalidadCalculada[[#This Row],[Muestra]],tblCalidadRegistrada[Muestra],0))</f>
        <v/>
      </c>
      <c r="C63" s="6">
        <f>INDEX(tblCalidadRegistrada[Sector hídrico],MATCH(tblCalidadCalculada[[#This Row],[Muestra]],tblCalidadRegistrada[Muestra],0))</f>
        <v/>
      </c>
      <c r="D63" s="6">
        <f>INDEX(tblCalidadRegistrada[Tratamiento],MATCH(tblCalidadCalculada[[#This Row],[Muestra]],tblCalidadRegistrada[Muestra],0))</f>
        <v/>
      </c>
      <c r="E63" s="6">
        <f>INDEX(tblCalidadRegistrada[Bloque],MATCH(tblCalidadCalculada[[#This Row],[Muestra]],tblCalidadRegistrada[Muestra],0))</f>
        <v/>
      </c>
      <c r="F63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63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63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63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63" s="6">
        <f>INDEX(tblCalidadRegistrada[Estado de la medición],MATCH(tblCalidadCalculada[[#This Row],[Muestra]],tblCalidadRegistrada[Muestra],0))</f>
        <v/>
      </c>
      <c r="K63" s="6">
        <f>INDEX(tblCalidadRegistrada[Origen del dato],MATCH(tblCalidadCalculada[[#This Row],[Muestra]],tblCalidadRegistrada[Muestra],0))</f>
        <v/>
      </c>
      <c r="L63" s="14">
        <f>INDEX(tblMSCalculada[Biomasa informada en el libro histórico (kg MS/ha)],MATCH(tblCalidadCalculada[[#This Row],[Muestra]],tblMSCalculada[Muestra],0))</f>
        <v/>
      </c>
      <c r="M63" s="14">
        <f>IF(tblCalidadCalculada[[#This Row],[Nitrógeno medido (%)]]="",tblCalidadCalculada[[#This Row],[Nitrógeno estimado (%)]],tblCalidadCalculada[[#This Row],[Nitrógeno medido (%)]])</f>
        <v/>
      </c>
      <c r="N63" s="14">
        <f>IF(tblCalidadCalculada[[#This Row],[Estado de la medición]]="estimated",INDEX(tblCalidadFaltante[Nitrógeno estimado (%)],MATCH(tblCalidadCalculada[[#This Row],[Muestra]],tblCalidadFaltante[Muestra],0)),"")</f>
        <v/>
      </c>
      <c r="O63" s="14">
        <f>IF(tblCalidadCalculada[[#This Row],[Estado de la medición]]="estimated",INDEX(tblCalidadFaltante[FDA estimada (%)],MATCH(tblCalidadCalculada[[#This Row],[Muestra]],tblCalidadFaltante[Muestra],0)),"")</f>
        <v/>
      </c>
      <c r="P63" s="14">
        <f>IF(tblCalidadCalculada[[#This Row],[Estado de la medición]]="estimated",INDEX(tblCalidadFaltante[FDN estimada (%)],MATCH(tblCalidadCalculada[[#This Row],[Muestra]],tblCalidadFaltante[Muestra],0)),"")</f>
        <v/>
      </c>
      <c r="Q63" s="14">
        <f>tblCalidadCalculada[[#This Row],[Biomasa informada enlazada (kg MS/ha)]]*tblCalidadCalculada[[#This Row],[Nitrógeno efectivo (%)]]/100</f>
        <v/>
      </c>
      <c r="R63" s="14">
        <f>4.8*(tblCalidadCalculada[[#This Row],[Biomasa informada enlazada (kg MS/ha)]]/1000)^(-0.32)</f>
        <v/>
      </c>
      <c r="S63" s="14">
        <f>tblCalidadCalculada[[#This Row],[Nitrógeno efectivo (%)]]/tblCalidadCalculada[[#This Row],[Concentración crítica de nitrógeno (%)]]</f>
        <v/>
      </c>
      <c r="T63" s="6" t="inlineStr">
        <is>
          <t>from_measured_quality</t>
        </is>
      </c>
    </row>
    <row r="64">
      <c r="A64" s="12" t="n">
        <v>60</v>
      </c>
      <c r="B64" s="13">
        <f>INDEX(tblCalidadRegistrada[Fecha],MATCH(tblCalidadCalculada[[#This Row],[Muestra]],tblCalidadRegistrada[Muestra],0))</f>
        <v/>
      </c>
      <c r="C64" s="6">
        <f>INDEX(tblCalidadRegistrada[Sector hídrico],MATCH(tblCalidadCalculada[[#This Row],[Muestra]],tblCalidadRegistrada[Muestra],0))</f>
        <v/>
      </c>
      <c r="D64" s="6">
        <f>INDEX(tblCalidadRegistrada[Tratamiento],MATCH(tblCalidadCalculada[[#This Row],[Muestra]],tblCalidadRegistrada[Muestra],0))</f>
        <v/>
      </c>
      <c r="E64" s="6">
        <f>INDEX(tblCalidadRegistrada[Bloque],MATCH(tblCalidadCalculada[[#This Row],[Muestra]],tblCalidadRegistrada[Muestra],0))</f>
        <v/>
      </c>
      <c r="F64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64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64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64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64" s="6">
        <f>INDEX(tblCalidadRegistrada[Estado de la medición],MATCH(tblCalidadCalculada[[#This Row],[Muestra]],tblCalidadRegistrada[Muestra],0))</f>
        <v/>
      </c>
      <c r="K64" s="6">
        <f>INDEX(tblCalidadRegistrada[Origen del dato],MATCH(tblCalidadCalculada[[#This Row],[Muestra]],tblCalidadRegistrada[Muestra],0))</f>
        <v/>
      </c>
      <c r="L64" s="14">
        <f>INDEX(tblMSCalculada[Biomasa informada en el libro histórico (kg MS/ha)],MATCH(tblCalidadCalculada[[#This Row],[Muestra]],tblMSCalculada[Muestra],0))</f>
        <v/>
      </c>
      <c r="M64" s="14">
        <f>IF(tblCalidadCalculada[[#This Row],[Nitrógeno medido (%)]]="",tblCalidadCalculada[[#This Row],[Nitrógeno estimado (%)]],tblCalidadCalculada[[#This Row],[Nitrógeno medido (%)]])</f>
        <v/>
      </c>
      <c r="N64" s="14">
        <f>IF(tblCalidadCalculada[[#This Row],[Estado de la medición]]="estimated",INDEX(tblCalidadFaltante[Nitrógeno estimado (%)],MATCH(tblCalidadCalculada[[#This Row],[Muestra]],tblCalidadFaltante[Muestra],0)),"")</f>
        <v/>
      </c>
      <c r="O64" s="14">
        <f>IF(tblCalidadCalculada[[#This Row],[Estado de la medición]]="estimated",INDEX(tblCalidadFaltante[FDA estimada (%)],MATCH(tblCalidadCalculada[[#This Row],[Muestra]],tblCalidadFaltante[Muestra],0)),"")</f>
        <v/>
      </c>
      <c r="P64" s="14">
        <f>IF(tblCalidadCalculada[[#This Row],[Estado de la medición]]="estimated",INDEX(tblCalidadFaltante[FDN estimada (%)],MATCH(tblCalidadCalculada[[#This Row],[Muestra]],tblCalidadFaltante[Muestra],0)),"")</f>
        <v/>
      </c>
      <c r="Q64" s="14">
        <f>tblCalidadCalculada[[#This Row],[Biomasa informada enlazada (kg MS/ha)]]*tblCalidadCalculada[[#This Row],[Nitrógeno efectivo (%)]]/100</f>
        <v/>
      </c>
      <c r="R64" s="14">
        <f>4.8*(tblCalidadCalculada[[#This Row],[Biomasa informada enlazada (kg MS/ha)]]/1000)^(-0.32)</f>
        <v/>
      </c>
      <c r="S64" s="14">
        <f>tblCalidadCalculada[[#This Row],[Nitrógeno efectivo (%)]]/tblCalidadCalculada[[#This Row],[Concentración crítica de nitrógeno (%)]]</f>
        <v/>
      </c>
      <c r="T64" s="6" t="inlineStr">
        <is>
          <t>from_measured_quality</t>
        </is>
      </c>
    </row>
    <row r="65">
      <c r="A65" s="12" t="n">
        <v>61</v>
      </c>
      <c r="B65" s="13">
        <f>INDEX(tblCalidadRegistrada[Fecha],MATCH(tblCalidadCalculada[[#This Row],[Muestra]],tblCalidadRegistrada[Muestra],0))</f>
        <v/>
      </c>
      <c r="C65" s="6">
        <f>INDEX(tblCalidadRegistrada[Sector hídrico],MATCH(tblCalidadCalculada[[#This Row],[Muestra]],tblCalidadRegistrada[Muestra],0))</f>
        <v/>
      </c>
      <c r="D65" s="6">
        <f>INDEX(tblCalidadRegistrada[Tratamiento],MATCH(tblCalidadCalculada[[#This Row],[Muestra]],tblCalidadRegistrada[Muestra],0))</f>
        <v/>
      </c>
      <c r="E65" s="6">
        <f>INDEX(tblCalidadRegistrada[Bloque],MATCH(tblCalidadCalculada[[#This Row],[Muestra]],tblCalidadRegistrada[Muestra],0))</f>
        <v/>
      </c>
      <c r="F65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65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65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65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65" s="6">
        <f>INDEX(tblCalidadRegistrada[Estado de la medición],MATCH(tblCalidadCalculada[[#This Row],[Muestra]],tblCalidadRegistrada[Muestra],0))</f>
        <v/>
      </c>
      <c r="K65" s="6">
        <f>INDEX(tblCalidadRegistrada[Origen del dato],MATCH(tblCalidadCalculada[[#This Row],[Muestra]],tblCalidadRegistrada[Muestra],0))</f>
        <v/>
      </c>
      <c r="L65" s="14">
        <f>INDEX(tblMSCalculada[Biomasa informada en el libro histórico (kg MS/ha)],MATCH(tblCalidadCalculada[[#This Row],[Muestra]],tblMSCalculada[Muestra],0))</f>
        <v/>
      </c>
      <c r="M65" s="14">
        <f>IF(tblCalidadCalculada[[#This Row],[Nitrógeno medido (%)]]="",tblCalidadCalculada[[#This Row],[Nitrógeno estimado (%)]],tblCalidadCalculada[[#This Row],[Nitrógeno medido (%)]])</f>
        <v/>
      </c>
      <c r="N65" s="14">
        <f>IF(tblCalidadCalculada[[#This Row],[Estado de la medición]]="estimated",INDEX(tblCalidadFaltante[Nitrógeno estimado (%)],MATCH(tblCalidadCalculada[[#This Row],[Muestra]],tblCalidadFaltante[Muestra],0)),"")</f>
        <v/>
      </c>
      <c r="O65" s="14">
        <f>IF(tblCalidadCalculada[[#This Row],[Estado de la medición]]="estimated",INDEX(tblCalidadFaltante[FDA estimada (%)],MATCH(tblCalidadCalculada[[#This Row],[Muestra]],tblCalidadFaltante[Muestra],0)),"")</f>
        <v/>
      </c>
      <c r="P65" s="14">
        <f>IF(tblCalidadCalculada[[#This Row],[Estado de la medición]]="estimated",INDEX(tblCalidadFaltante[FDN estimada (%)],MATCH(tblCalidadCalculada[[#This Row],[Muestra]],tblCalidadFaltante[Muestra],0)),"")</f>
        <v/>
      </c>
      <c r="Q65" s="14">
        <f>tblCalidadCalculada[[#This Row],[Biomasa informada enlazada (kg MS/ha)]]*tblCalidadCalculada[[#This Row],[Nitrógeno efectivo (%)]]/100</f>
        <v/>
      </c>
      <c r="R65" s="14">
        <f>4.8*(tblCalidadCalculada[[#This Row],[Biomasa informada enlazada (kg MS/ha)]]/1000)^(-0.32)</f>
        <v/>
      </c>
      <c r="S65" s="14">
        <f>tblCalidadCalculada[[#This Row],[Nitrógeno efectivo (%)]]/tblCalidadCalculada[[#This Row],[Concentración crítica de nitrógeno (%)]]</f>
        <v/>
      </c>
      <c r="T65" s="6" t="inlineStr">
        <is>
          <t>from_measured_quality</t>
        </is>
      </c>
    </row>
    <row r="66">
      <c r="A66" s="12" t="n">
        <v>62</v>
      </c>
      <c r="B66" s="13">
        <f>INDEX(tblCalidadRegistrada[Fecha],MATCH(tblCalidadCalculada[[#This Row],[Muestra]],tblCalidadRegistrada[Muestra],0))</f>
        <v/>
      </c>
      <c r="C66" s="6">
        <f>INDEX(tblCalidadRegistrada[Sector hídrico],MATCH(tblCalidadCalculada[[#This Row],[Muestra]],tblCalidadRegistrada[Muestra],0))</f>
        <v/>
      </c>
      <c r="D66" s="6">
        <f>INDEX(tblCalidadRegistrada[Tratamiento],MATCH(tblCalidadCalculada[[#This Row],[Muestra]],tblCalidadRegistrada[Muestra],0))</f>
        <v/>
      </c>
      <c r="E66" s="6">
        <f>INDEX(tblCalidadRegistrada[Bloque],MATCH(tblCalidadCalculada[[#This Row],[Muestra]],tblCalidadRegistrada[Muestra],0))</f>
        <v/>
      </c>
      <c r="F66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66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66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66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66" s="6">
        <f>INDEX(tblCalidadRegistrada[Estado de la medición],MATCH(tblCalidadCalculada[[#This Row],[Muestra]],tblCalidadRegistrada[Muestra],0))</f>
        <v/>
      </c>
      <c r="K66" s="6">
        <f>INDEX(tblCalidadRegistrada[Origen del dato],MATCH(tblCalidadCalculada[[#This Row],[Muestra]],tblCalidadRegistrada[Muestra],0))</f>
        <v/>
      </c>
      <c r="L66" s="14">
        <f>INDEX(tblMSCalculada[Biomasa informada en el libro histórico (kg MS/ha)],MATCH(tblCalidadCalculada[[#This Row],[Muestra]],tblMSCalculada[Muestra],0))</f>
        <v/>
      </c>
      <c r="M66" s="14">
        <f>IF(tblCalidadCalculada[[#This Row],[Nitrógeno medido (%)]]="",tblCalidadCalculada[[#This Row],[Nitrógeno estimado (%)]],tblCalidadCalculada[[#This Row],[Nitrógeno medido (%)]])</f>
        <v/>
      </c>
      <c r="N66" s="14">
        <f>IF(tblCalidadCalculada[[#This Row],[Estado de la medición]]="estimated",INDEX(tblCalidadFaltante[Nitrógeno estimado (%)],MATCH(tblCalidadCalculada[[#This Row],[Muestra]],tblCalidadFaltante[Muestra],0)),"")</f>
        <v/>
      </c>
      <c r="O66" s="14">
        <f>IF(tblCalidadCalculada[[#This Row],[Estado de la medición]]="estimated",INDEX(tblCalidadFaltante[FDA estimada (%)],MATCH(tblCalidadCalculada[[#This Row],[Muestra]],tblCalidadFaltante[Muestra],0)),"")</f>
        <v/>
      </c>
      <c r="P66" s="14">
        <f>IF(tblCalidadCalculada[[#This Row],[Estado de la medición]]="estimated",INDEX(tblCalidadFaltante[FDN estimada (%)],MATCH(tblCalidadCalculada[[#This Row],[Muestra]],tblCalidadFaltante[Muestra],0)),"")</f>
        <v/>
      </c>
      <c r="Q66" s="14">
        <f>tblCalidadCalculada[[#This Row],[Biomasa informada enlazada (kg MS/ha)]]*tblCalidadCalculada[[#This Row],[Nitrógeno efectivo (%)]]/100</f>
        <v/>
      </c>
      <c r="R66" s="14">
        <f>4.8*(tblCalidadCalculada[[#This Row],[Biomasa informada enlazada (kg MS/ha)]]/1000)^(-0.32)</f>
        <v/>
      </c>
      <c r="S66" s="14">
        <f>tblCalidadCalculada[[#This Row],[Nitrógeno efectivo (%)]]/tblCalidadCalculada[[#This Row],[Concentración crítica de nitrógeno (%)]]</f>
        <v/>
      </c>
      <c r="T66" s="6" t="inlineStr">
        <is>
          <t>from_measured_quality</t>
        </is>
      </c>
    </row>
    <row r="67">
      <c r="A67" s="12" t="n">
        <v>63</v>
      </c>
      <c r="B67" s="13">
        <f>INDEX(tblCalidadRegistrada[Fecha],MATCH(tblCalidadCalculada[[#This Row],[Muestra]],tblCalidadRegistrada[Muestra],0))</f>
        <v/>
      </c>
      <c r="C67" s="6">
        <f>INDEX(tblCalidadRegistrada[Sector hídrico],MATCH(tblCalidadCalculada[[#This Row],[Muestra]],tblCalidadRegistrada[Muestra],0))</f>
        <v/>
      </c>
      <c r="D67" s="6">
        <f>INDEX(tblCalidadRegistrada[Tratamiento],MATCH(tblCalidadCalculada[[#This Row],[Muestra]],tblCalidadRegistrada[Muestra],0))</f>
        <v/>
      </c>
      <c r="E67" s="6">
        <f>INDEX(tblCalidadRegistrada[Bloque],MATCH(tblCalidadCalculada[[#This Row],[Muestra]],tblCalidadRegistrada[Muestra],0))</f>
        <v/>
      </c>
      <c r="F67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67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67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67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67" s="6">
        <f>INDEX(tblCalidadRegistrada[Estado de la medición],MATCH(tblCalidadCalculada[[#This Row],[Muestra]],tblCalidadRegistrada[Muestra],0))</f>
        <v/>
      </c>
      <c r="K67" s="6">
        <f>INDEX(tblCalidadRegistrada[Origen del dato],MATCH(tblCalidadCalculada[[#This Row],[Muestra]],tblCalidadRegistrada[Muestra],0))</f>
        <v/>
      </c>
      <c r="L67" s="14">
        <f>INDEX(tblMSCalculada[Biomasa informada en el libro histórico (kg MS/ha)],MATCH(tblCalidadCalculada[[#This Row],[Muestra]],tblMSCalculada[Muestra],0))</f>
        <v/>
      </c>
      <c r="M67" s="14">
        <f>IF(tblCalidadCalculada[[#This Row],[Nitrógeno medido (%)]]="",tblCalidadCalculada[[#This Row],[Nitrógeno estimado (%)]],tblCalidadCalculada[[#This Row],[Nitrógeno medido (%)]])</f>
        <v/>
      </c>
      <c r="N67" s="14">
        <f>IF(tblCalidadCalculada[[#This Row],[Estado de la medición]]="estimated",INDEX(tblCalidadFaltante[Nitrógeno estimado (%)],MATCH(tblCalidadCalculada[[#This Row],[Muestra]],tblCalidadFaltante[Muestra],0)),"")</f>
        <v/>
      </c>
      <c r="O67" s="14">
        <f>IF(tblCalidadCalculada[[#This Row],[Estado de la medición]]="estimated",INDEX(tblCalidadFaltante[FDA estimada (%)],MATCH(tblCalidadCalculada[[#This Row],[Muestra]],tblCalidadFaltante[Muestra],0)),"")</f>
        <v/>
      </c>
      <c r="P67" s="14">
        <f>IF(tblCalidadCalculada[[#This Row],[Estado de la medición]]="estimated",INDEX(tblCalidadFaltante[FDN estimada (%)],MATCH(tblCalidadCalculada[[#This Row],[Muestra]],tblCalidadFaltante[Muestra],0)),"")</f>
        <v/>
      </c>
      <c r="Q67" s="14">
        <f>tblCalidadCalculada[[#This Row],[Biomasa informada enlazada (kg MS/ha)]]*tblCalidadCalculada[[#This Row],[Nitrógeno efectivo (%)]]/100</f>
        <v/>
      </c>
      <c r="R67" s="14">
        <f>4.8*(tblCalidadCalculada[[#This Row],[Biomasa informada enlazada (kg MS/ha)]]/1000)^(-0.32)</f>
        <v/>
      </c>
      <c r="S67" s="14">
        <f>tblCalidadCalculada[[#This Row],[Nitrógeno efectivo (%)]]/tblCalidadCalculada[[#This Row],[Concentración crítica de nitrógeno (%)]]</f>
        <v/>
      </c>
      <c r="T67" s="6" t="inlineStr">
        <is>
          <t>from_measured_quality</t>
        </is>
      </c>
    </row>
    <row r="68">
      <c r="A68" s="12" t="n">
        <v>64</v>
      </c>
      <c r="B68" s="13">
        <f>INDEX(tblCalidadRegistrada[Fecha],MATCH(tblCalidadCalculada[[#This Row],[Muestra]],tblCalidadRegistrada[Muestra],0))</f>
        <v/>
      </c>
      <c r="C68" s="6">
        <f>INDEX(tblCalidadRegistrada[Sector hídrico],MATCH(tblCalidadCalculada[[#This Row],[Muestra]],tblCalidadRegistrada[Muestra],0))</f>
        <v/>
      </c>
      <c r="D68" s="6">
        <f>INDEX(tblCalidadRegistrada[Tratamiento],MATCH(tblCalidadCalculada[[#This Row],[Muestra]],tblCalidadRegistrada[Muestra],0))</f>
        <v/>
      </c>
      <c r="E68" s="6">
        <f>INDEX(tblCalidadRegistrada[Bloque],MATCH(tblCalidadCalculada[[#This Row],[Muestra]],tblCalidadRegistrada[Muestra],0))</f>
        <v/>
      </c>
      <c r="F68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68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68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68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68" s="6">
        <f>INDEX(tblCalidadRegistrada[Estado de la medición],MATCH(tblCalidadCalculada[[#This Row],[Muestra]],tblCalidadRegistrada[Muestra],0))</f>
        <v/>
      </c>
      <c r="K68" s="6">
        <f>INDEX(tblCalidadRegistrada[Origen del dato],MATCH(tblCalidadCalculada[[#This Row],[Muestra]],tblCalidadRegistrada[Muestra],0))</f>
        <v/>
      </c>
      <c r="L68" s="14">
        <f>INDEX(tblMSCalculada[Biomasa informada en el libro histórico (kg MS/ha)],MATCH(tblCalidadCalculada[[#This Row],[Muestra]],tblMSCalculada[Muestra],0))</f>
        <v/>
      </c>
      <c r="M68" s="14">
        <f>IF(tblCalidadCalculada[[#This Row],[Nitrógeno medido (%)]]="",tblCalidadCalculada[[#This Row],[Nitrógeno estimado (%)]],tblCalidadCalculada[[#This Row],[Nitrógeno medido (%)]])</f>
        <v/>
      </c>
      <c r="N68" s="14">
        <f>IF(tblCalidadCalculada[[#This Row],[Estado de la medición]]="estimated",INDEX(tblCalidadFaltante[Nitrógeno estimado (%)],MATCH(tblCalidadCalculada[[#This Row],[Muestra]],tblCalidadFaltante[Muestra],0)),"")</f>
        <v/>
      </c>
      <c r="O68" s="14">
        <f>IF(tblCalidadCalculada[[#This Row],[Estado de la medición]]="estimated",INDEX(tblCalidadFaltante[FDA estimada (%)],MATCH(tblCalidadCalculada[[#This Row],[Muestra]],tblCalidadFaltante[Muestra],0)),"")</f>
        <v/>
      </c>
      <c r="P68" s="14">
        <f>IF(tblCalidadCalculada[[#This Row],[Estado de la medición]]="estimated",INDEX(tblCalidadFaltante[FDN estimada (%)],MATCH(tblCalidadCalculada[[#This Row],[Muestra]],tblCalidadFaltante[Muestra],0)),"")</f>
        <v/>
      </c>
      <c r="Q68" s="14">
        <f>tblCalidadCalculada[[#This Row],[Biomasa informada enlazada (kg MS/ha)]]*tblCalidadCalculada[[#This Row],[Nitrógeno efectivo (%)]]/100</f>
        <v/>
      </c>
      <c r="R68" s="14">
        <f>4.8*(tblCalidadCalculada[[#This Row],[Biomasa informada enlazada (kg MS/ha)]]/1000)^(-0.32)</f>
        <v/>
      </c>
      <c r="S68" s="14">
        <f>tblCalidadCalculada[[#This Row],[Nitrógeno efectivo (%)]]/tblCalidadCalculada[[#This Row],[Concentración crítica de nitrógeno (%)]]</f>
        <v/>
      </c>
      <c r="T68" s="6" t="inlineStr">
        <is>
          <t>from_measured_quality</t>
        </is>
      </c>
    </row>
    <row r="69">
      <c r="A69" s="12" t="n">
        <v>65</v>
      </c>
      <c r="B69" s="13">
        <f>INDEX(tblCalidadRegistrada[Fecha],MATCH(tblCalidadCalculada[[#This Row],[Muestra]],tblCalidadRegistrada[Muestra],0))</f>
        <v/>
      </c>
      <c r="C69" s="6">
        <f>INDEX(tblCalidadRegistrada[Sector hídrico],MATCH(tblCalidadCalculada[[#This Row],[Muestra]],tblCalidadRegistrada[Muestra],0))</f>
        <v/>
      </c>
      <c r="D69" s="6">
        <f>INDEX(tblCalidadRegistrada[Tratamiento],MATCH(tblCalidadCalculada[[#This Row],[Muestra]],tblCalidadRegistrada[Muestra],0))</f>
        <v/>
      </c>
      <c r="E69" s="6">
        <f>INDEX(tblCalidadRegistrada[Bloque],MATCH(tblCalidadCalculada[[#This Row],[Muestra]],tblCalidadRegistrada[Muestra],0))</f>
        <v/>
      </c>
      <c r="F69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69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69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69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69" s="6">
        <f>INDEX(tblCalidadRegistrada[Estado de la medición],MATCH(tblCalidadCalculada[[#This Row],[Muestra]],tblCalidadRegistrada[Muestra],0))</f>
        <v/>
      </c>
      <c r="K69" s="6">
        <f>INDEX(tblCalidadRegistrada[Origen del dato],MATCH(tblCalidadCalculada[[#This Row],[Muestra]],tblCalidadRegistrada[Muestra],0))</f>
        <v/>
      </c>
      <c r="L69" s="14">
        <f>INDEX(tblMSCalculada[Biomasa informada en el libro histórico (kg MS/ha)],MATCH(tblCalidadCalculada[[#This Row],[Muestra]],tblMSCalculada[Muestra],0))</f>
        <v/>
      </c>
      <c r="M69" s="14">
        <f>IF(tblCalidadCalculada[[#This Row],[Nitrógeno medido (%)]]="",tblCalidadCalculada[[#This Row],[Nitrógeno estimado (%)]],tblCalidadCalculada[[#This Row],[Nitrógeno medido (%)]])</f>
        <v/>
      </c>
      <c r="N69" s="14">
        <f>IF(tblCalidadCalculada[[#This Row],[Estado de la medición]]="estimated",INDEX(tblCalidadFaltante[Nitrógeno estimado (%)],MATCH(tblCalidadCalculada[[#This Row],[Muestra]],tblCalidadFaltante[Muestra],0)),"")</f>
        <v/>
      </c>
      <c r="O69" s="14">
        <f>IF(tblCalidadCalculada[[#This Row],[Estado de la medición]]="estimated",INDEX(tblCalidadFaltante[FDA estimada (%)],MATCH(tblCalidadCalculada[[#This Row],[Muestra]],tblCalidadFaltante[Muestra],0)),"")</f>
        <v/>
      </c>
      <c r="P69" s="14">
        <f>IF(tblCalidadCalculada[[#This Row],[Estado de la medición]]="estimated",INDEX(tblCalidadFaltante[FDN estimada (%)],MATCH(tblCalidadCalculada[[#This Row],[Muestra]],tblCalidadFaltante[Muestra],0)),"")</f>
        <v/>
      </c>
      <c r="Q69" s="14">
        <f>tblCalidadCalculada[[#This Row],[Biomasa informada enlazada (kg MS/ha)]]*tblCalidadCalculada[[#This Row],[Nitrógeno efectivo (%)]]/100</f>
        <v/>
      </c>
      <c r="R69" s="14">
        <f>4.8*(tblCalidadCalculada[[#This Row],[Biomasa informada enlazada (kg MS/ha)]]/1000)^(-0.32)</f>
        <v/>
      </c>
      <c r="S69" s="14">
        <f>tblCalidadCalculada[[#This Row],[Nitrógeno efectivo (%)]]/tblCalidadCalculada[[#This Row],[Concentración crítica de nitrógeno (%)]]</f>
        <v/>
      </c>
      <c r="T69" s="6" t="inlineStr">
        <is>
          <t>from_measured_quality</t>
        </is>
      </c>
    </row>
    <row r="70">
      <c r="A70" s="12" t="n">
        <v>66</v>
      </c>
      <c r="B70" s="13">
        <f>INDEX(tblCalidadRegistrada[Fecha],MATCH(tblCalidadCalculada[[#This Row],[Muestra]],tblCalidadRegistrada[Muestra],0))</f>
        <v/>
      </c>
      <c r="C70" s="6">
        <f>INDEX(tblCalidadRegistrada[Sector hídrico],MATCH(tblCalidadCalculada[[#This Row],[Muestra]],tblCalidadRegistrada[Muestra],0))</f>
        <v/>
      </c>
      <c r="D70" s="6">
        <f>INDEX(tblCalidadRegistrada[Tratamiento],MATCH(tblCalidadCalculada[[#This Row],[Muestra]],tblCalidadRegistrada[Muestra],0))</f>
        <v/>
      </c>
      <c r="E70" s="6">
        <f>INDEX(tblCalidadRegistrada[Bloque],MATCH(tblCalidadCalculada[[#This Row],[Muestra]],tblCalidadRegistrada[Muestra],0))</f>
        <v/>
      </c>
      <c r="F70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70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70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70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70" s="6">
        <f>INDEX(tblCalidadRegistrada[Estado de la medición],MATCH(tblCalidadCalculada[[#This Row],[Muestra]],tblCalidadRegistrada[Muestra],0))</f>
        <v/>
      </c>
      <c r="K70" s="6">
        <f>INDEX(tblCalidadRegistrada[Origen del dato],MATCH(tblCalidadCalculada[[#This Row],[Muestra]],tblCalidadRegistrada[Muestra],0))</f>
        <v/>
      </c>
      <c r="L70" s="14">
        <f>INDEX(tblMSCalculada[Biomasa informada en el libro histórico (kg MS/ha)],MATCH(tblCalidadCalculada[[#This Row],[Muestra]],tblMSCalculada[Muestra],0))</f>
        <v/>
      </c>
      <c r="M70" s="14">
        <f>IF(tblCalidadCalculada[[#This Row],[Nitrógeno medido (%)]]="",tblCalidadCalculada[[#This Row],[Nitrógeno estimado (%)]],tblCalidadCalculada[[#This Row],[Nitrógeno medido (%)]])</f>
        <v/>
      </c>
      <c r="N70" s="14">
        <f>IF(tblCalidadCalculada[[#This Row],[Estado de la medición]]="estimated",INDEX(tblCalidadFaltante[Nitrógeno estimado (%)],MATCH(tblCalidadCalculada[[#This Row],[Muestra]],tblCalidadFaltante[Muestra],0)),"")</f>
        <v/>
      </c>
      <c r="O70" s="14">
        <f>IF(tblCalidadCalculada[[#This Row],[Estado de la medición]]="estimated",INDEX(tblCalidadFaltante[FDA estimada (%)],MATCH(tblCalidadCalculada[[#This Row],[Muestra]],tblCalidadFaltante[Muestra],0)),"")</f>
        <v/>
      </c>
      <c r="P70" s="14">
        <f>IF(tblCalidadCalculada[[#This Row],[Estado de la medición]]="estimated",INDEX(tblCalidadFaltante[FDN estimada (%)],MATCH(tblCalidadCalculada[[#This Row],[Muestra]],tblCalidadFaltante[Muestra],0)),"")</f>
        <v/>
      </c>
      <c r="Q70" s="14">
        <f>tblCalidadCalculada[[#This Row],[Biomasa informada enlazada (kg MS/ha)]]*tblCalidadCalculada[[#This Row],[Nitrógeno efectivo (%)]]/100</f>
        <v/>
      </c>
      <c r="R70" s="14">
        <f>4.8*(tblCalidadCalculada[[#This Row],[Biomasa informada enlazada (kg MS/ha)]]/1000)^(-0.32)</f>
        <v/>
      </c>
      <c r="S70" s="14">
        <f>tblCalidadCalculada[[#This Row],[Nitrógeno efectivo (%)]]/tblCalidadCalculada[[#This Row],[Concentración crítica de nitrógeno (%)]]</f>
        <v/>
      </c>
      <c r="T70" s="6" t="inlineStr">
        <is>
          <t>from_measured_quality</t>
        </is>
      </c>
    </row>
    <row r="71">
      <c r="A71" s="12" t="n">
        <v>67</v>
      </c>
      <c r="B71" s="13">
        <f>INDEX(tblCalidadRegistrada[Fecha],MATCH(tblCalidadCalculada[[#This Row],[Muestra]],tblCalidadRegistrada[Muestra],0))</f>
        <v/>
      </c>
      <c r="C71" s="6">
        <f>INDEX(tblCalidadRegistrada[Sector hídrico],MATCH(tblCalidadCalculada[[#This Row],[Muestra]],tblCalidadRegistrada[Muestra],0))</f>
        <v/>
      </c>
      <c r="D71" s="6">
        <f>INDEX(tblCalidadRegistrada[Tratamiento],MATCH(tblCalidadCalculada[[#This Row],[Muestra]],tblCalidadRegistrada[Muestra],0))</f>
        <v/>
      </c>
      <c r="E71" s="6">
        <f>INDEX(tblCalidadRegistrada[Bloque],MATCH(tblCalidadCalculada[[#This Row],[Muestra]],tblCalidadRegistrada[Muestra],0))</f>
        <v/>
      </c>
      <c r="F71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71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71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71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71" s="6">
        <f>INDEX(tblCalidadRegistrada[Estado de la medición],MATCH(tblCalidadCalculada[[#This Row],[Muestra]],tblCalidadRegistrada[Muestra],0))</f>
        <v/>
      </c>
      <c r="K71" s="6">
        <f>INDEX(tblCalidadRegistrada[Origen del dato],MATCH(tblCalidadCalculada[[#This Row],[Muestra]],tblCalidadRegistrada[Muestra],0))</f>
        <v/>
      </c>
      <c r="L71" s="14">
        <f>INDEX(tblMSCalculada[Biomasa informada en el libro histórico (kg MS/ha)],MATCH(tblCalidadCalculada[[#This Row],[Muestra]],tblMSCalculada[Muestra],0))</f>
        <v/>
      </c>
      <c r="M71" s="14">
        <f>IF(tblCalidadCalculada[[#This Row],[Nitrógeno medido (%)]]="",tblCalidadCalculada[[#This Row],[Nitrógeno estimado (%)]],tblCalidadCalculada[[#This Row],[Nitrógeno medido (%)]])</f>
        <v/>
      </c>
      <c r="N71" s="14">
        <f>IF(tblCalidadCalculada[[#This Row],[Estado de la medición]]="estimated",INDEX(tblCalidadFaltante[Nitrógeno estimado (%)],MATCH(tblCalidadCalculada[[#This Row],[Muestra]],tblCalidadFaltante[Muestra],0)),"")</f>
        <v/>
      </c>
      <c r="O71" s="14">
        <f>IF(tblCalidadCalculada[[#This Row],[Estado de la medición]]="estimated",INDEX(tblCalidadFaltante[FDA estimada (%)],MATCH(tblCalidadCalculada[[#This Row],[Muestra]],tblCalidadFaltante[Muestra],0)),"")</f>
        <v/>
      </c>
      <c r="P71" s="14">
        <f>IF(tblCalidadCalculada[[#This Row],[Estado de la medición]]="estimated",INDEX(tblCalidadFaltante[FDN estimada (%)],MATCH(tblCalidadCalculada[[#This Row],[Muestra]],tblCalidadFaltante[Muestra],0)),"")</f>
        <v/>
      </c>
      <c r="Q71" s="14">
        <f>tblCalidadCalculada[[#This Row],[Biomasa informada enlazada (kg MS/ha)]]*tblCalidadCalculada[[#This Row],[Nitrógeno efectivo (%)]]/100</f>
        <v/>
      </c>
      <c r="R71" s="14">
        <f>4.8*(tblCalidadCalculada[[#This Row],[Biomasa informada enlazada (kg MS/ha)]]/1000)^(-0.32)</f>
        <v/>
      </c>
      <c r="S71" s="14">
        <f>tblCalidadCalculada[[#This Row],[Nitrógeno efectivo (%)]]/tblCalidadCalculada[[#This Row],[Concentración crítica de nitrógeno (%)]]</f>
        <v/>
      </c>
      <c r="T71" s="6" t="inlineStr">
        <is>
          <t>from_measured_quality</t>
        </is>
      </c>
    </row>
    <row r="72">
      <c r="A72" s="12" t="n">
        <v>68</v>
      </c>
      <c r="B72" s="13">
        <f>INDEX(tblCalidadRegistrada[Fecha],MATCH(tblCalidadCalculada[[#This Row],[Muestra]],tblCalidadRegistrada[Muestra],0))</f>
        <v/>
      </c>
      <c r="C72" s="6">
        <f>INDEX(tblCalidadRegistrada[Sector hídrico],MATCH(tblCalidadCalculada[[#This Row],[Muestra]],tblCalidadRegistrada[Muestra],0))</f>
        <v/>
      </c>
      <c r="D72" s="6">
        <f>INDEX(tblCalidadRegistrada[Tratamiento],MATCH(tblCalidadCalculada[[#This Row],[Muestra]],tblCalidadRegistrada[Muestra],0))</f>
        <v/>
      </c>
      <c r="E72" s="6">
        <f>INDEX(tblCalidadRegistrada[Bloque],MATCH(tblCalidadCalculada[[#This Row],[Muestra]],tblCalidadRegistrada[Muestra],0))</f>
        <v/>
      </c>
      <c r="F72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72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72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72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72" s="6">
        <f>INDEX(tblCalidadRegistrada[Estado de la medición],MATCH(tblCalidadCalculada[[#This Row],[Muestra]],tblCalidadRegistrada[Muestra],0))</f>
        <v/>
      </c>
      <c r="K72" s="6">
        <f>INDEX(tblCalidadRegistrada[Origen del dato],MATCH(tblCalidadCalculada[[#This Row],[Muestra]],tblCalidadRegistrada[Muestra],0))</f>
        <v/>
      </c>
      <c r="L72" s="14">
        <f>INDEX(tblMSCalculada[Biomasa informada en el libro histórico (kg MS/ha)],MATCH(tblCalidadCalculada[[#This Row],[Muestra]],tblMSCalculada[Muestra],0))</f>
        <v/>
      </c>
      <c r="M72" s="14">
        <f>IF(tblCalidadCalculada[[#This Row],[Nitrógeno medido (%)]]="",tblCalidadCalculada[[#This Row],[Nitrógeno estimado (%)]],tblCalidadCalculada[[#This Row],[Nitrógeno medido (%)]])</f>
        <v/>
      </c>
      <c r="N72" s="14">
        <f>IF(tblCalidadCalculada[[#This Row],[Estado de la medición]]="estimated",INDEX(tblCalidadFaltante[Nitrógeno estimado (%)],MATCH(tblCalidadCalculada[[#This Row],[Muestra]],tblCalidadFaltante[Muestra],0)),"")</f>
        <v/>
      </c>
      <c r="O72" s="14">
        <f>IF(tblCalidadCalculada[[#This Row],[Estado de la medición]]="estimated",INDEX(tblCalidadFaltante[FDA estimada (%)],MATCH(tblCalidadCalculada[[#This Row],[Muestra]],tblCalidadFaltante[Muestra],0)),"")</f>
        <v/>
      </c>
      <c r="P72" s="14">
        <f>IF(tblCalidadCalculada[[#This Row],[Estado de la medición]]="estimated",INDEX(tblCalidadFaltante[FDN estimada (%)],MATCH(tblCalidadCalculada[[#This Row],[Muestra]],tblCalidadFaltante[Muestra],0)),"")</f>
        <v/>
      </c>
      <c r="Q72" s="14">
        <f>tblCalidadCalculada[[#This Row],[Biomasa informada enlazada (kg MS/ha)]]*tblCalidadCalculada[[#This Row],[Nitrógeno efectivo (%)]]/100</f>
        <v/>
      </c>
      <c r="R72" s="14">
        <f>4.8*(tblCalidadCalculada[[#This Row],[Biomasa informada enlazada (kg MS/ha)]]/1000)^(-0.32)</f>
        <v/>
      </c>
      <c r="S72" s="14">
        <f>tblCalidadCalculada[[#This Row],[Nitrógeno efectivo (%)]]/tblCalidadCalculada[[#This Row],[Concentración crítica de nitrógeno (%)]]</f>
        <v/>
      </c>
      <c r="T72" s="6" t="inlineStr">
        <is>
          <t>from_measured_quality</t>
        </is>
      </c>
    </row>
    <row r="73">
      <c r="A73" s="12" t="n">
        <v>69</v>
      </c>
      <c r="B73" s="13">
        <f>INDEX(tblCalidadRegistrada[Fecha],MATCH(tblCalidadCalculada[[#This Row],[Muestra]],tblCalidadRegistrada[Muestra],0))</f>
        <v/>
      </c>
      <c r="C73" s="6">
        <f>INDEX(tblCalidadRegistrada[Sector hídrico],MATCH(tblCalidadCalculada[[#This Row],[Muestra]],tblCalidadRegistrada[Muestra],0))</f>
        <v/>
      </c>
      <c r="D73" s="6">
        <f>INDEX(tblCalidadRegistrada[Tratamiento],MATCH(tblCalidadCalculada[[#This Row],[Muestra]],tblCalidadRegistrada[Muestra],0))</f>
        <v/>
      </c>
      <c r="E73" s="6">
        <f>INDEX(tblCalidadRegistrada[Bloque],MATCH(tblCalidadCalculada[[#This Row],[Muestra]],tblCalidadRegistrada[Muestra],0))</f>
        <v/>
      </c>
      <c r="F73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73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73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73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73" s="6">
        <f>INDEX(tblCalidadRegistrada[Estado de la medición],MATCH(tblCalidadCalculada[[#This Row],[Muestra]],tblCalidadRegistrada[Muestra],0))</f>
        <v/>
      </c>
      <c r="K73" s="6">
        <f>INDEX(tblCalidadRegistrada[Origen del dato],MATCH(tblCalidadCalculada[[#This Row],[Muestra]],tblCalidadRegistrada[Muestra],0))</f>
        <v/>
      </c>
      <c r="L73" s="14">
        <f>INDEX(tblMSCalculada[Biomasa informada en el libro histórico (kg MS/ha)],MATCH(tblCalidadCalculada[[#This Row],[Muestra]],tblMSCalculada[Muestra],0))</f>
        <v/>
      </c>
      <c r="M73" s="14">
        <f>IF(tblCalidadCalculada[[#This Row],[Nitrógeno medido (%)]]="",tblCalidadCalculada[[#This Row],[Nitrógeno estimado (%)]],tblCalidadCalculada[[#This Row],[Nitrógeno medido (%)]])</f>
        <v/>
      </c>
      <c r="N73" s="14">
        <f>IF(tblCalidadCalculada[[#This Row],[Estado de la medición]]="estimated",INDEX(tblCalidadFaltante[Nitrógeno estimado (%)],MATCH(tblCalidadCalculada[[#This Row],[Muestra]],tblCalidadFaltante[Muestra],0)),"")</f>
        <v/>
      </c>
      <c r="O73" s="14">
        <f>IF(tblCalidadCalculada[[#This Row],[Estado de la medición]]="estimated",INDEX(tblCalidadFaltante[FDA estimada (%)],MATCH(tblCalidadCalculada[[#This Row],[Muestra]],tblCalidadFaltante[Muestra],0)),"")</f>
        <v/>
      </c>
      <c r="P73" s="14">
        <f>IF(tblCalidadCalculada[[#This Row],[Estado de la medición]]="estimated",INDEX(tblCalidadFaltante[FDN estimada (%)],MATCH(tblCalidadCalculada[[#This Row],[Muestra]],tblCalidadFaltante[Muestra],0)),"")</f>
        <v/>
      </c>
      <c r="Q73" s="14">
        <f>tblCalidadCalculada[[#This Row],[Biomasa informada enlazada (kg MS/ha)]]*tblCalidadCalculada[[#This Row],[Nitrógeno efectivo (%)]]/100</f>
        <v/>
      </c>
      <c r="R73" s="14">
        <f>4.8*(tblCalidadCalculada[[#This Row],[Biomasa informada enlazada (kg MS/ha)]]/1000)^(-0.32)</f>
        <v/>
      </c>
      <c r="S73" s="14">
        <f>tblCalidadCalculada[[#This Row],[Nitrógeno efectivo (%)]]/tblCalidadCalculada[[#This Row],[Concentración crítica de nitrógeno (%)]]</f>
        <v/>
      </c>
      <c r="T73" s="6" t="inlineStr">
        <is>
          <t>from_measured_quality</t>
        </is>
      </c>
    </row>
    <row r="74">
      <c r="A74" s="12" t="n">
        <v>70</v>
      </c>
      <c r="B74" s="13">
        <f>INDEX(tblCalidadRegistrada[Fecha],MATCH(tblCalidadCalculada[[#This Row],[Muestra]],tblCalidadRegistrada[Muestra],0))</f>
        <v/>
      </c>
      <c r="C74" s="6">
        <f>INDEX(tblCalidadRegistrada[Sector hídrico],MATCH(tblCalidadCalculada[[#This Row],[Muestra]],tblCalidadRegistrada[Muestra],0))</f>
        <v/>
      </c>
      <c r="D74" s="6">
        <f>INDEX(tblCalidadRegistrada[Tratamiento],MATCH(tblCalidadCalculada[[#This Row],[Muestra]],tblCalidadRegistrada[Muestra],0))</f>
        <v/>
      </c>
      <c r="E74" s="6">
        <f>INDEX(tblCalidadRegistrada[Bloque],MATCH(tblCalidadCalculada[[#This Row],[Muestra]],tblCalidadRegistrada[Muestra],0))</f>
        <v/>
      </c>
      <c r="F74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74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74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74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74" s="6">
        <f>INDEX(tblCalidadRegistrada[Estado de la medición],MATCH(tblCalidadCalculada[[#This Row],[Muestra]],tblCalidadRegistrada[Muestra],0))</f>
        <v/>
      </c>
      <c r="K74" s="6">
        <f>INDEX(tblCalidadRegistrada[Origen del dato],MATCH(tblCalidadCalculada[[#This Row],[Muestra]],tblCalidadRegistrada[Muestra],0))</f>
        <v/>
      </c>
      <c r="L74" s="14">
        <f>INDEX(tblMSCalculada[Biomasa informada en el libro histórico (kg MS/ha)],MATCH(tblCalidadCalculada[[#This Row],[Muestra]],tblMSCalculada[Muestra],0))</f>
        <v/>
      </c>
      <c r="M74" s="14">
        <f>IF(tblCalidadCalculada[[#This Row],[Nitrógeno medido (%)]]="",tblCalidadCalculada[[#This Row],[Nitrógeno estimado (%)]],tblCalidadCalculada[[#This Row],[Nitrógeno medido (%)]])</f>
        <v/>
      </c>
      <c r="N74" s="14">
        <f>IF(tblCalidadCalculada[[#This Row],[Estado de la medición]]="estimated",INDEX(tblCalidadFaltante[Nitrógeno estimado (%)],MATCH(tblCalidadCalculada[[#This Row],[Muestra]],tblCalidadFaltante[Muestra],0)),"")</f>
        <v/>
      </c>
      <c r="O74" s="14">
        <f>IF(tblCalidadCalculada[[#This Row],[Estado de la medición]]="estimated",INDEX(tblCalidadFaltante[FDA estimada (%)],MATCH(tblCalidadCalculada[[#This Row],[Muestra]],tblCalidadFaltante[Muestra],0)),"")</f>
        <v/>
      </c>
      <c r="P74" s="14">
        <f>IF(tblCalidadCalculada[[#This Row],[Estado de la medición]]="estimated",INDEX(tblCalidadFaltante[FDN estimada (%)],MATCH(tblCalidadCalculada[[#This Row],[Muestra]],tblCalidadFaltante[Muestra],0)),"")</f>
        <v/>
      </c>
      <c r="Q74" s="14">
        <f>tblCalidadCalculada[[#This Row],[Biomasa informada enlazada (kg MS/ha)]]*tblCalidadCalculada[[#This Row],[Nitrógeno efectivo (%)]]/100</f>
        <v/>
      </c>
      <c r="R74" s="14">
        <f>4.8*(tblCalidadCalculada[[#This Row],[Biomasa informada enlazada (kg MS/ha)]]/1000)^(-0.32)</f>
        <v/>
      </c>
      <c r="S74" s="14">
        <f>tblCalidadCalculada[[#This Row],[Nitrógeno efectivo (%)]]/tblCalidadCalculada[[#This Row],[Concentración crítica de nitrógeno (%)]]</f>
        <v/>
      </c>
      <c r="T74" s="6" t="inlineStr">
        <is>
          <t>from_measured_quality</t>
        </is>
      </c>
    </row>
    <row r="75">
      <c r="A75" s="12" t="n">
        <v>71</v>
      </c>
      <c r="B75" s="13">
        <f>INDEX(tblCalidadRegistrada[Fecha],MATCH(tblCalidadCalculada[[#This Row],[Muestra]],tblCalidadRegistrada[Muestra],0))</f>
        <v/>
      </c>
      <c r="C75" s="6">
        <f>INDEX(tblCalidadRegistrada[Sector hídrico],MATCH(tblCalidadCalculada[[#This Row],[Muestra]],tblCalidadRegistrada[Muestra],0))</f>
        <v/>
      </c>
      <c r="D75" s="6">
        <f>INDEX(tblCalidadRegistrada[Tratamiento],MATCH(tblCalidadCalculada[[#This Row],[Muestra]],tblCalidadRegistrada[Muestra],0))</f>
        <v/>
      </c>
      <c r="E75" s="6">
        <f>INDEX(tblCalidadRegistrada[Bloque],MATCH(tblCalidadCalculada[[#This Row],[Muestra]],tblCalidadRegistrada[Muestra],0))</f>
        <v/>
      </c>
      <c r="F75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75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75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75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75" s="6">
        <f>INDEX(tblCalidadRegistrada[Estado de la medición],MATCH(tblCalidadCalculada[[#This Row],[Muestra]],tblCalidadRegistrada[Muestra],0))</f>
        <v/>
      </c>
      <c r="K75" s="6">
        <f>INDEX(tblCalidadRegistrada[Origen del dato],MATCH(tblCalidadCalculada[[#This Row],[Muestra]],tblCalidadRegistrada[Muestra],0))</f>
        <v/>
      </c>
      <c r="L75" s="14">
        <f>INDEX(tblMSCalculada[Biomasa informada en el libro histórico (kg MS/ha)],MATCH(tblCalidadCalculada[[#This Row],[Muestra]],tblMSCalculada[Muestra],0))</f>
        <v/>
      </c>
      <c r="M75" s="14">
        <f>IF(tblCalidadCalculada[[#This Row],[Nitrógeno medido (%)]]="",tblCalidadCalculada[[#This Row],[Nitrógeno estimado (%)]],tblCalidadCalculada[[#This Row],[Nitrógeno medido (%)]])</f>
        <v/>
      </c>
      <c r="N75" s="14">
        <f>IF(tblCalidadCalculada[[#This Row],[Estado de la medición]]="estimated",INDEX(tblCalidadFaltante[Nitrógeno estimado (%)],MATCH(tblCalidadCalculada[[#This Row],[Muestra]],tblCalidadFaltante[Muestra],0)),"")</f>
        <v/>
      </c>
      <c r="O75" s="14">
        <f>IF(tblCalidadCalculada[[#This Row],[Estado de la medición]]="estimated",INDEX(tblCalidadFaltante[FDA estimada (%)],MATCH(tblCalidadCalculada[[#This Row],[Muestra]],tblCalidadFaltante[Muestra],0)),"")</f>
        <v/>
      </c>
      <c r="P75" s="14">
        <f>IF(tblCalidadCalculada[[#This Row],[Estado de la medición]]="estimated",INDEX(tblCalidadFaltante[FDN estimada (%)],MATCH(tblCalidadCalculada[[#This Row],[Muestra]],tblCalidadFaltante[Muestra],0)),"")</f>
        <v/>
      </c>
      <c r="Q75" s="14">
        <f>tblCalidadCalculada[[#This Row],[Biomasa informada enlazada (kg MS/ha)]]*tblCalidadCalculada[[#This Row],[Nitrógeno efectivo (%)]]/100</f>
        <v/>
      </c>
      <c r="R75" s="14">
        <f>4.8*(tblCalidadCalculada[[#This Row],[Biomasa informada enlazada (kg MS/ha)]]/1000)^(-0.32)</f>
        <v/>
      </c>
      <c r="S75" s="14">
        <f>tblCalidadCalculada[[#This Row],[Nitrógeno efectivo (%)]]/tblCalidadCalculada[[#This Row],[Concentración crítica de nitrógeno (%)]]</f>
        <v/>
      </c>
      <c r="T75" s="6" t="inlineStr">
        <is>
          <t>from_measured_quality</t>
        </is>
      </c>
    </row>
    <row r="76">
      <c r="A76" s="12" t="n">
        <v>72</v>
      </c>
      <c r="B76" s="13">
        <f>INDEX(tblCalidadRegistrada[Fecha],MATCH(tblCalidadCalculada[[#This Row],[Muestra]],tblCalidadRegistrada[Muestra],0))</f>
        <v/>
      </c>
      <c r="C76" s="6">
        <f>INDEX(tblCalidadRegistrada[Sector hídrico],MATCH(tblCalidadCalculada[[#This Row],[Muestra]],tblCalidadRegistrada[Muestra],0))</f>
        <v/>
      </c>
      <c r="D76" s="6">
        <f>INDEX(tblCalidadRegistrada[Tratamiento],MATCH(tblCalidadCalculada[[#This Row],[Muestra]],tblCalidadRegistrada[Muestra],0))</f>
        <v/>
      </c>
      <c r="E76" s="6">
        <f>INDEX(tblCalidadRegistrada[Bloque],MATCH(tblCalidadCalculada[[#This Row],[Muestra]],tblCalidadRegistrada[Muestra],0))</f>
        <v/>
      </c>
      <c r="F76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76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76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76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76" s="6">
        <f>INDEX(tblCalidadRegistrada[Estado de la medición],MATCH(tblCalidadCalculada[[#This Row],[Muestra]],tblCalidadRegistrada[Muestra],0))</f>
        <v/>
      </c>
      <c r="K76" s="6">
        <f>INDEX(tblCalidadRegistrada[Origen del dato],MATCH(tblCalidadCalculada[[#This Row],[Muestra]],tblCalidadRegistrada[Muestra],0))</f>
        <v/>
      </c>
      <c r="L76" s="14">
        <f>INDEX(tblMSCalculada[Biomasa informada en el libro histórico (kg MS/ha)],MATCH(tblCalidadCalculada[[#This Row],[Muestra]],tblMSCalculada[Muestra],0))</f>
        <v/>
      </c>
      <c r="M76" s="14">
        <f>IF(tblCalidadCalculada[[#This Row],[Nitrógeno medido (%)]]="",tblCalidadCalculada[[#This Row],[Nitrógeno estimado (%)]],tblCalidadCalculada[[#This Row],[Nitrógeno medido (%)]])</f>
        <v/>
      </c>
      <c r="N76" s="14">
        <f>IF(tblCalidadCalculada[[#This Row],[Estado de la medición]]="estimated",INDEX(tblCalidadFaltante[Nitrógeno estimado (%)],MATCH(tblCalidadCalculada[[#This Row],[Muestra]],tblCalidadFaltante[Muestra],0)),"")</f>
        <v/>
      </c>
      <c r="O76" s="14">
        <f>IF(tblCalidadCalculada[[#This Row],[Estado de la medición]]="estimated",INDEX(tblCalidadFaltante[FDA estimada (%)],MATCH(tblCalidadCalculada[[#This Row],[Muestra]],tblCalidadFaltante[Muestra],0)),"")</f>
        <v/>
      </c>
      <c r="P76" s="14">
        <f>IF(tblCalidadCalculada[[#This Row],[Estado de la medición]]="estimated",INDEX(tblCalidadFaltante[FDN estimada (%)],MATCH(tblCalidadCalculada[[#This Row],[Muestra]],tblCalidadFaltante[Muestra],0)),"")</f>
        <v/>
      </c>
      <c r="Q76" s="14">
        <f>tblCalidadCalculada[[#This Row],[Biomasa informada enlazada (kg MS/ha)]]*tblCalidadCalculada[[#This Row],[Nitrógeno efectivo (%)]]/100</f>
        <v/>
      </c>
      <c r="R76" s="14">
        <f>4.8*(tblCalidadCalculada[[#This Row],[Biomasa informada enlazada (kg MS/ha)]]/1000)^(-0.32)</f>
        <v/>
      </c>
      <c r="S76" s="14">
        <f>tblCalidadCalculada[[#This Row],[Nitrógeno efectivo (%)]]/tblCalidadCalculada[[#This Row],[Concentración crítica de nitrógeno (%)]]</f>
        <v/>
      </c>
      <c r="T76" s="6" t="inlineStr">
        <is>
          <t>from_measured_quality</t>
        </is>
      </c>
    </row>
    <row r="77">
      <c r="A77" s="12" t="n">
        <v>73</v>
      </c>
      <c r="B77" s="13">
        <f>INDEX(tblCalidadRegistrada[Fecha],MATCH(tblCalidadCalculada[[#This Row],[Muestra]],tblCalidadRegistrada[Muestra],0))</f>
        <v/>
      </c>
      <c r="C77" s="6">
        <f>INDEX(tblCalidadRegistrada[Sector hídrico],MATCH(tblCalidadCalculada[[#This Row],[Muestra]],tblCalidadRegistrada[Muestra],0))</f>
        <v/>
      </c>
      <c r="D77" s="6">
        <f>INDEX(tblCalidadRegistrada[Tratamiento],MATCH(tblCalidadCalculada[[#This Row],[Muestra]],tblCalidadRegistrada[Muestra],0))</f>
        <v/>
      </c>
      <c r="E77" s="6">
        <f>INDEX(tblCalidadRegistrada[Bloque],MATCH(tblCalidadCalculada[[#This Row],[Muestra]],tblCalidadRegistrada[Muestra],0))</f>
        <v/>
      </c>
      <c r="F77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77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77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77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77" s="6">
        <f>INDEX(tblCalidadRegistrada[Estado de la medición],MATCH(tblCalidadCalculada[[#This Row],[Muestra]],tblCalidadRegistrada[Muestra],0))</f>
        <v/>
      </c>
      <c r="K77" s="6">
        <f>INDEX(tblCalidadRegistrada[Origen del dato],MATCH(tblCalidadCalculada[[#This Row],[Muestra]],tblCalidadRegistrada[Muestra],0))</f>
        <v/>
      </c>
      <c r="L77" s="14">
        <f>INDEX(tblMSCalculada[Biomasa informada en el libro histórico (kg MS/ha)],MATCH(tblCalidadCalculada[[#This Row],[Muestra]],tblMSCalculada[Muestra],0))</f>
        <v/>
      </c>
      <c r="M77" s="14">
        <f>IF(tblCalidadCalculada[[#This Row],[Nitrógeno medido (%)]]="",tblCalidadCalculada[[#This Row],[Nitrógeno estimado (%)]],tblCalidadCalculada[[#This Row],[Nitrógeno medido (%)]])</f>
        <v/>
      </c>
      <c r="N77" s="14">
        <f>IF(tblCalidadCalculada[[#This Row],[Estado de la medición]]="estimated",INDEX(tblCalidadFaltante[Nitrógeno estimado (%)],MATCH(tblCalidadCalculada[[#This Row],[Muestra]],tblCalidadFaltante[Muestra],0)),"")</f>
        <v/>
      </c>
      <c r="O77" s="14">
        <f>IF(tblCalidadCalculada[[#This Row],[Estado de la medición]]="estimated",INDEX(tblCalidadFaltante[FDA estimada (%)],MATCH(tblCalidadCalculada[[#This Row],[Muestra]],tblCalidadFaltante[Muestra],0)),"")</f>
        <v/>
      </c>
      <c r="P77" s="14">
        <f>IF(tblCalidadCalculada[[#This Row],[Estado de la medición]]="estimated",INDEX(tblCalidadFaltante[FDN estimada (%)],MATCH(tblCalidadCalculada[[#This Row],[Muestra]],tblCalidadFaltante[Muestra],0)),"")</f>
        <v/>
      </c>
      <c r="Q77" s="14">
        <f>tblCalidadCalculada[[#This Row],[Biomasa informada enlazada (kg MS/ha)]]*tblCalidadCalculada[[#This Row],[Nitrógeno efectivo (%)]]/100</f>
        <v/>
      </c>
      <c r="R77" s="14">
        <f>4.8*(tblCalidadCalculada[[#This Row],[Biomasa informada enlazada (kg MS/ha)]]/1000)^(-0.32)</f>
        <v/>
      </c>
      <c r="S77" s="14">
        <f>tblCalidadCalculada[[#This Row],[Nitrógeno efectivo (%)]]/tblCalidadCalculada[[#This Row],[Concentración crítica de nitrógeno (%)]]</f>
        <v/>
      </c>
      <c r="T77" s="6" t="inlineStr">
        <is>
          <t>from_measured_quality</t>
        </is>
      </c>
    </row>
    <row r="78">
      <c r="A78" s="12" t="n">
        <v>74</v>
      </c>
      <c r="B78" s="13">
        <f>INDEX(tblCalidadRegistrada[Fecha],MATCH(tblCalidadCalculada[[#This Row],[Muestra]],tblCalidadRegistrada[Muestra],0))</f>
        <v/>
      </c>
      <c r="C78" s="6">
        <f>INDEX(tblCalidadRegistrada[Sector hídrico],MATCH(tblCalidadCalculada[[#This Row],[Muestra]],tblCalidadRegistrada[Muestra],0))</f>
        <v/>
      </c>
      <c r="D78" s="6">
        <f>INDEX(tblCalidadRegistrada[Tratamiento],MATCH(tblCalidadCalculada[[#This Row],[Muestra]],tblCalidadRegistrada[Muestra],0))</f>
        <v/>
      </c>
      <c r="E78" s="6">
        <f>INDEX(tblCalidadRegistrada[Bloque],MATCH(tblCalidadCalculada[[#This Row],[Muestra]],tblCalidadRegistrada[Muestra],0))</f>
        <v/>
      </c>
      <c r="F78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78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78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78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78" s="6">
        <f>INDEX(tblCalidadRegistrada[Estado de la medición],MATCH(tblCalidadCalculada[[#This Row],[Muestra]],tblCalidadRegistrada[Muestra],0))</f>
        <v/>
      </c>
      <c r="K78" s="6">
        <f>INDEX(tblCalidadRegistrada[Origen del dato],MATCH(tblCalidadCalculada[[#This Row],[Muestra]],tblCalidadRegistrada[Muestra],0))</f>
        <v/>
      </c>
      <c r="L78" s="14">
        <f>INDEX(tblMSCalculada[Biomasa informada en el libro histórico (kg MS/ha)],MATCH(tblCalidadCalculada[[#This Row],[Muestra]],tblMSCalculada[Muestra],0))</f>
        <v/>
      </c>
      <c r="M78" s="14">
        <f>IF(tblCalidadCalculada[[#This Row],[Nitrógeno medido (%)]]="",tblCalidadCalculada[[#This Row],[Nitrógeno estimado (%)]],tblCalidadCalculada[[#This Row],[Nitrógeno medido (%)]])</f>
        <v/>
      </c>
      <c r="N78" s="14">
        <f>IF(tblCalidadCalculada[[#This Row],[Estado de la medición]]="estimated",INDEX(tblCalidadFaltante[Nitrógeno estimado (%)],MATCH(tblCalidadCalculada[[#This Row],[Muestra]],tblCalidadFaltante[Muestra],0)),"")</f>
        <v/>
      </c>
      <c r="O78" s="14">
        <f>IF(tblCalidadCalculada[[#This Row],[Estado de la medición]]="estimated",INDEX(tblCalidadFaltante[FDA estimada (%)],MATCH(tblCalidadCalculada[[#This Row],[Muestra]],tblCalidadFaltante[Muestra],0)),"")</f>
        <v/>
      </c>
      <c r="P78" s="14">
        <f>IF(tblCalidadCalculada[[#This Row],[Estado de la medición]]="estimated",INDEX(tblCalidadFaltante[FDN estimada (%)],MATCH(tblCalidadCalculada[[#This Row],[Muestra]],tblCalidadFaltante[Muestra],0)),"")</f>
        <v/>
      </c>
      <c r="Q78" s="14">
        <f>tblCalidadCalculada[[#This Row],[Biomasa informada enlazada (kg MS/ha)]]*tblCalidadCalculada[[#This Row],[Nitrógeno efectivo (%)]]/100</f>
        <v/>
      </c>
      <c r="R78" s="14">
        <f>4.8*(tblCalidadCalculada[[#This Row],[Biomasa informada enlazada (kg MS/ha)]]/1000)^(-0.32)</f>
        <v/>
      </c>
      <c r="S78" s="14">
        <f>tblCalidadCalculada[[#This Row],[Nitrógeno efectivo (%)]]/tblCalidadCalculada[[#This Row],[Concentración crítica de nitrógeno (%)]]</f>
        <v/>
      </c>
      <c r="T78" s="6" t="inlineStr">
        <is>
          <t>from_measured_quality</t>
        </is>
      </c>
    </row>
    <row r="79">
      <c r="A79" s="12" t="n">
        <v>75</v>
      </c>
      <c r="B79" s="13">
        <f>INDEX(tblCalidadRegistrada[Fecha],MATCH(tblCalidadCalculada[[#This Row],[Muestra]],tblCalidadRegistrada[Muestra],0))</f>
        <v/>
      </c>
      <c r="C79" s="6">
        <f>INDEX(tblCalidadRegistrada[Sector hídrico],MATCH(tblCalidadCalculada[[#This Row],[Muestra]],tblCalidadRegistrada[Muestra],0))</f>
        <v/>
      </c>
      <c r="D79" s="6">
        <f>INDEX(tblCalidadRegistrada[Tratamiento],MATCH(tblCalidadCalculada[[#This Row],[Muestra]],tblCalidadRegistrada[Muestra],0))</f>
        <v/>
      </c>
      <c r="E79" s="6">
        <f>INDEX(tblCalidadRegistrada[Bloque],MATCH(tblCalidadCalculada[[#This Row],[Muestra]],tblCalidadRegistrada[Muestra],0))</f>
        <v/>
      </c>
      <c r="F79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79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79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79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79" s="6">
        <f>INDEX(tblCalidadRegistrada[Estado de la medición],MATCH(tblCalidadCalculada[[#This Row],[Muestra]],tblCalidadRegistrada[Muestra],0))</f>
        <v/>
      </c>
      <c r="K79" s="6">
        <f>INDEX(tblCalidadRegistrada[Origen del dato],MATCH(tblCalidadCalculada[[#This Row],[Muestra]],tblCalidadRegistrada[Muestra],0))</f>
        <v/>
      </c>
      <c r="L79" s="14">
        <f>INDEX(tblMSCalculada[Biomasa informada en el libro histórico (kg MS/ha)],MATCH(tblCalidadCalculada[[#This Row],[Muestra]],tblMSCalculada[Muestra],0))</f>
        <v/>
      </c>
      <c r="M79" s="14">
        <f>IF(tblCalidadCalculada[[#This Row],[Nitrógeno medido (%)]]="",tblCalidadCalculada[[#This Row],[Nitrógeno estimado (%)]],tblCalidadCalculada[[#This Row],[Nitrógeno medido (%)]])</f>
        <v/>
      </c>
      <c r="N79" s="14">
        <f>IF(tblCalidadCalculada[[#This Row],[Estado de la medición]]="estimated",INDEX(tblCalidadFaltante[Nitrógeno estimado (%)],MATCH(tblCalidadCalculada[[#This Row],[Muestra]],tblCalidadFaltante[Muestra],0)),"")</f>
        <v/>
      </c>
      <c r="O79" s="14">
        <f>IF(tblCalidadCalculada[[#This Row],[Estado de la medición]]="estimated",INDEX(tblCalidadFaltante[FDA estimada (%)],MATCH(tblCalidadCalculada[[#This Row],[Muestra]],tblCalidadFaltante[Muestra],0)),"")</f>
        <v/>
      </c>
      <c r="P79" s="14">
        <f>IF(tblCalidadCalculada[[#This Row],[Estado de la medición]]="estimated",INDEX(tblCalidadFaltante[FDN estimada (%)],MATCH(tblCalidadCalculada[[#This Row],[Muestra]],tblCalidadFaltante[Muestra],0)),"")</f>
        <v/>
      </c>
      <c r="Q79" s="14">
        <f>tblCalidadCalculada[[#This Row],[Biomasa informada enlazada (kg MS/ha)]]*tblCalidadCalculada[[#This Row],[Nitrógeno efectivo (%)]]/100</f>
        <v/>
      </c>
      <c r="R79" s="14">
        <f>4.8*(tblCalidadCalculada[[#This Row],[Biomasa informada enlazada (kg MS/ha)]]/1000)^(-0.32)</f>
        <v/>
      </c>
      <c r="S79" s="14">
        <f>tblCalidadCalculada[[#This Row],[Nitrógeno efectivo (%)]]/tblCalidadCalculada[[#This Row],[Concentración crítica de nitrógeno (%)]]</f>
        <v/>
      </c>
      <c r="T79" s="6" t="inlineStr">
        <is>
          <t>from_measured_quality</t>
        </is>
      </c>
    </row>
    <row r="80">
      <c r="A80" s="12" t="n">
        <v>76</v>
      </c>
      <c r="B80" s="13">
        <f>INDEX(tblCalidadRegistrada[Fecha],MATCH(tblCalidadCalculada[[#This Row],[Muestra]],tblCalidadRegistrada[Muestra],0))</f>
        <v/>
      </c>
      <c r="C80" s="6">
        <f>INDEX(tblCalidadRegistrada[Sector hídrico],MATCH(tblCalidadCalculada[[#This Row],[Muestra]],tblCalidadRegistrada[Muestra],0))</f>
        <v/>
      </c>
      <c r="D80" s="6">
        <f>INDEX(tblCalidadRegistrada[Tratamiento],MATCH(tblCalidadCalculada[[#This Row],[Muestra]],tblCalidadRegistrada[Muestra],0))</f>
        <v/>
      </c>
      <c r="E80" s="6">
        <f>INDEX(tblCalidadRegistrada[Bloque],MATCH(tblCalidadCalculada[[#This Row],[Muestra]],tblCalidadRegistrada[Muestra],0))</f>
        <v/>
      </c>
      <c r="F80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80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80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80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80" s="6">
        <f>INDEX(tblCalidadRegistrada[Estado de la medición],MATCH(tblCalidadCalculada[[#This Row],[Muestra]],tblCalidadRegistrada[Muestra],0))</f>
        <v/>
      </c>
      <c r="K80" s="6">
        <f>INDEX(tblCalidadRegistrada[Origen del dato],MATCH(tblCalidadCalculada[[#This Row],[Muestra]],tblCalidadRegistrada[Muestra],0))</f>
        <v/>
      </c>
      <c r="L80" s="14">
        <f>INDEX(tblMSCalculada[Biomasa informada en el libro histórico (kg MS/ha)],MATCH(tblCalidadCalculada[[#This Row],[Muestra]],tblMSCalculada[Muestra],0))</f>
        <v/>
      </c>
      <c r="M80" s="14">
        <f>IF(tblCalidadCalculada[[#This Row],[Nitrógeno medido (%)]]="",tblCalidadCalculada[[#This Row],[Nitrógeno estimado (%)]],tblCalidadCalculada[[#This Row],[Nitrógeno medido (%)]])</f>
        <v/>
      </c>
      <c r="N80" s="14">
        <f>IF(tblCalidadCalculada[[#This Row],[Estado de la medición]]="estimated",INDEX(tblCalidadFaltante[Nitrógeno estimado (%)],MATCH(tblCalidadCalculada[[#This Row],[Muestra]],tblCalidadFaltante[Muestra],0)),"")</f>
        <v/>
      </c>
      <c r="O80" s="14">
        <f>IF(tblCalidadCalculada[[#This Row],[Estado de la medición]]="estimated",INDEX(tblCalidadFaltante[FDA estimada (%)],MATCH(tblCalidadCalculada[[#This Row],[Muestra]],tblCalidadFaltante[Muestra],0)),"")</f>
        <v/>
      </c>
      <c r="P80" s="14">
        <f>IF(tblCalidadCalculada[[#This Row],[Estado de la medición]]="estimated",INDEX(tblCalidadFaltante[FDN estimada (%)],MATCH(tblCalidadCalculada[[#This Row],[Muestra]],tblCalidadFaltante[Muestra],0)),"")</f>
        <v/>
      </c>
      <c r="Q80" s="14">
        <f>tblCalidadCalculada[[#This Row],[Biomasa informada enlazada (kg MS/ha)]]*tblCalidadCalculada[[#This Row],[Nitrógeno efectivo (%)]]/100</f>
        <v/>
      </c>
      <c r="R80" s="14">
        <f>4.8*(tblCalidadCalculada[[#This Row],[Biomasa informada enlazada (kg MS/ha)]]/1000)^(-0.32)</f>
        <v/>
      </c>
      <c r="S80" s="14">
        <f>tblCalidadCalculada[[#This Row],[Nitrógeno efectivo (%)]]/tblCalidadCalculada[[#This Row],[Concentración crítica de nitrógeno (%)]]</f>
        <v/>
      </c>
      <c r="T80" s="6" t="inlineStr">
        <is>
          <t>from_measured_quality</t>
        </is>
      </c>
    </row>
    <row r="81">
      <c r="A81" s="12" t="n">
        <v>77</v>
      </c>
      <c r="B81" s="13">
        <f>INDEX(tblCalidadRegistrada[Fecha],MATCH(tblCalidadCalculada[[#This Row],[Muestra]],tblCalidadRegistrada[Muestra],0))</f>
        <v/>
      </c>
      <c r="C81" s="6">
        <f>INDEX(tblCalidadRegistrada[Sector hídrico],MATCH(tblCalidadCalculada[[#This Row],[Muestra]],tblCalidadRegistrada[Muestra],0))</f>
        <v/>
      </c>
      <c r="D81" s="6">
        <f>INDEX(tblCalidadRegistrada[Tratamiento],MATCH(tblCalidadCalculada[[#This Row],[Muestra]],tblCalidadRegistrada[Muestra],0))</f>
        <v/>
      </c>
      <c r="E81" s="6">
        <f>INDEX(tblCalidadRegistrada[Bloque],MATCH(tblCalidadCalculada[[#This Row],[Muestra]],tblCalidadRegistrada[Muestra],0))</f>
        <v/>
      </c>
      <c r="F81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81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81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81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81" s="6">
        <f>INDEX(tblCalidadRegistrada[Estado de la medición],MATCH(tblCalidadCalculada[[#This Row],[Muestra]],tblCalidadRegistrada[Muestra],0))</f>
        <v/>
      </c>
      <c r="K81" s="6">
        <f>INDEX(tblCalidadRegistrada[Origen del dato],MATCH(tblCalidadCalculada[[#This Row],[Muestra]],tblCalidadRegistrada[Muestra],0))</f>
        <v/>
      </c>
      <c r="L81" s="14">
        <f>INDEX(tblMSCalculada[Biomasa informada en el libro histórico (kg MS/ha)],MATCH(tblCalidadCalculada[[#This Row],[Muestra]],tblMSCalculada[Muestra],0))</f>
        <v/>
      </c>
      <c r="M81" s="14">
        <f>IF(tblCalidadCalculada[[#This Row],[Nitrógeno medido (%)]]="",tblCalidadCalculada[[#This Row],[Nitrógeno estimado (%)]],tblCalidadCalculada[[#This Row],[Nitrógeno medido (%)]])</f>
        <v/>
      </c>
      <c r="N81" s="14">
        <f>IF(tblCalidadCalculada[[#This Row],[Estado de la medición]]="estimated",INDEX(tblCalidadFaltante[Nitrógeno estimado (%)],MATCH(tblCalidadCalculada[[#This Row],[Muestra]],tblCalidadFaltante[Muestra],0)),"")</f>
        <v/>
      </c>
      <c r="O81" s="14">
        <f>IF(tblCalidadCalculada[[#This Row],[Estado de la medición]]="estimated",INDEX(tblCalidadFaltante[FDA estimada (%)],MATCH(tblCalidadCalculada[[#This Row],[Muestra]],tblCalidadFaltante[Muestra],0)),"")</f>
        <v/>
      </c>
      <c r="P81" s="14">
        <f>IF(tblCalidadCalculada[[#This Row],[Estado de la medición]]="estimated",INDEX(tblCalidadFaltante[FDN estimada (%)],MATCH(tblCalidadCalculada[[#This Row],[Muestra]],tblCalidadFaltante[Muestra],0)),"")</f>
        <v/>
      </c>
      <c r="Q81" s="14">
        <f>tblCalidadCalculada[[#This Row],[Biomasa informada enlazada (kg MS/ha)]]*tblCalidadCalculada[[#This Row],[Nitrógeno efectivo (%)]]/100</f>
        <v/>
      </c>
      <c r="R81" s="14">
        <f>4.8*(tblCalidadCalculada[[#This Row],[Biomasa informada enlazada (kg MS/ha)]]/1000)^(-0.32)</f>
        <v/>
      </c>
      <c r="S81" s="14">
        <f>tblCalidadCalculada[[#This Row],[Nitrógeno efectivo (%)]]/tblCalidadCalculada[[#This Row],[Concentración crítica de nitrógeno (%)]]</f>
        <v/>
      </c>
      <c r="T81" s="6" t="inlineStr">
        <is>
          <t>from_measured_quality</t>
        </is>
      </c>
    </row>
    <row r="82">
      <c r="A82" s="12" t="n">
        <v>78</v>
      </c>
      <c r="B82" s="13">
        <f>INDEX(tblCalidadRegistrada[Fecha],MATCH(tblCalidadCalculada[[#This Row],[Muestra]],tblCalidadRegistrada[Muestra],0))</f>
        <v/>
      </c>
      <c r="C82" s="6">
        <f>INDEX(tblCalidadRegistrada[Sector hídrico],MATCH(tblCalidadCalculada[[#This Row],[Muestra]],tblCalidadRegistrada[Muestra],0))</f>
        <v/>
      </c>
      <c r="D82" s="6">
        <f>INDEX(tblCalidadRegistrada[Tratamiento],MATCH(tblCalidadCalculada[[#This Row],[Muestra]],tblCalidadRegistrada[Muestra],0))</f>
        <v/>
      </c>
      <c r="E82" s="6">
        <f>INDEX(tblCalidadRegistrada[Bloque],MATCH(tblCalidadCalculada[[#This Row],[Muestra]],tblCalidadRegistrada[Muestra],0))</f>
        <v/>
      </c>
      <c r="F82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82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82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82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82" s="6">
        <f>INDEX(tblCalidadRegistrada[Estado de la medición],MATCH(tblCalidadCalculada[[#This Row],[Muestra]],tblCalidadRegistrada[Muestra],0))</f>
        <v/>
      </c>
      <c r="K82" s="6">
        <f>INDEX(tblCalidadRegistrada[Origen del dato],MATCH(tblCalidadCalculada[[#This Row],[Muestra]],tblCalidadRegistrada[Muestra],0))</f>
        <v/>
      </c>
      <c r="L82" s="14">
        <f>INDEX(tblMSCalculada[Biomasa informada en el libro histórico (kg MS/ha)],MATCH(tblCalidadCalculada[[#This Row],[Muestra]],tblMSCalculada[Muestra],0))</f>
        <v/>
      </c>
      <c r="M82" s="14">
        <f>IF(tblCalidadCalculada[[#This Row],[Nitrógeno medido (%)]]="",tblCalidadCalculada[[#This Row],[Nitrógeno estimado (%)]],tblCalidadCalculada[[#This Row],[Nitrógeno medido (%)]])</f>
        <v/>
      </c>
      <c r="N82" s="14">
        <f>IF(tblCalidadCalculada[[#This Row],[Estado de la medición]]="estimated",INDEX(tblCalidadFaltante[Nitrógeno estimado (%)],MATCH(tblCalidadCalculada[[#This Row],[Muestra]],tblCalidadFaltante[Muestra],0)),"")</f>
        <v/>
      </c>
      <c r="O82" s="14">
        <f>IF(tblCalidadCalculada[[#This Row],[Estado de la medición]]="estimated",INDEX(tblCalidadFaltante[FDA estimada (%)],MATCH(tblCalidadCalculada[[#This Row],[Muestra]],tblCalidadFaltante[Muestra],0)),"")</f>
        <v/>
      </c>
      <c r="P82" s="14">
        <f>IF(tblCalidadCalculada[[#This Row],[Estado de la medición]]="estimated",INDEX(tblCalidadFaltante[FDN estimada (%)],MATCH(tblCalidadCalculada[[#This Row],[Muestra]],tblCalidadFaltante[Muestra],0)),"")</f>
        <v/>
      </c>
      <c r="Q82" s="14">
        <f>tblCalidadCalculada[[#This Row],[Biomasa informada enlazada (kg MS/ha)]]*tblCalidadCalculada[[#This Row],[Nitrógeno efectivo (%)]]/100</f>
        <v/>
      </c>
      <c r="R82" s="14">
        <f>4.8*(tblCalidadCalculada[[#This Row],[Biomasa informada enlazada (kg MS/ha)]]/1000)^(-0.32)</f>
        <v/>
      </c>
      <c r="S82" s="14">
        <f>tblCalidadCalculada[[#This Row],[Nitrógeno efectivo (%)]]/tblCalidadCalculada[[#This Row],[Concentración crítica de nitrógeno (%)]]</f>
        <v/>
      </c>
      <c r="T82" s="6" t="inlineStr">
        <is>
          <t>from_measured_quality</t>
        </is>
      </c>
    </row>
    <row r="83">
      <c r="A83" s="12" t="n">
        <v>79</v>
      </c>
      <c r="B83" s="13">
        <f>INDEX(tblCalidadRegistrada[Fecha],MATCH(tblCalidadCalculada[[#This Row],[Muestra]],tblCalidadRegistrada[Muestra],0))</f>
        <v/>
      </c>
      <c r="C83" s="6">
        <f>INDEX(tblCalidadRegistrada[Sector hídrico],MATCH(tblCalidadCalculada[[#This Row],[Muestra]],tblCalidadRegistrada[Muestra],0))</f>
        <v/>
      </c>
      <c r="D83" s="6">
        <f>INDEX(tblCalidadRegistrada[Tratamiento],MATCH(tblCalidadCalculada[[#This Row],[Muestra]],tblCalidadRegistrada[Muestra],0))</f>
        <v/>
      </c>
      <c r="E83" s="6">
        <f>INDEX(tblCalidadRegistrada[Bloque],MATCH(tblCalidadCalculada[[#This Row],[Muestra]],tblCalidadRegistrada[Muestra],0))</f>
        <v/>
      </c>
      <c r="F83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83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83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83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83" s="6">
        <f>INDEX(tblCalidadRegistrada[Estado de la medición],MATCH(tblCalidadCalculada[[#This Row],[Muestra]],tblCalidadRegistrada[Muestra],0))</f>
        <v/>
      </c>
      <c r="K83" s="6">
        <f>INDEX(tblCalidadRegistrada[Origen del dato],MATCH(tblCalidadCalculada[[#This Row],[Muestra]],tblCalidadRegistrada[Muestra],0))</f>
        <v/>
      </c>
      <c r="L83" s="14">
        <f>INDEX(tblMSCalculada[Biomasa informada en el libro histórico (kg MS/ha)],MATCH(tblCalidadCalculada[[#This Row],[Muestra]],tblMSCalculada[Muestra],0))</f>
        <v/>
      </c>
      <c r="M83" s="14">
        <f>IF(tblCalidadCalculada[[#This Row],[Nitrógeno medido (%)]]="",tblCalidadCalculada[[#This Row],[Nitrógeno estimado (%)]],tblCalidadCalculada[[#This Row],[Nitrógeno medido (%)]])</f>
        <v/>
      </c>
      <c r="N83" s="14">
        <f>IF(tblCalidadCalculada[[#This Row],[Estado de la medición]]="estimated",INDEX(tblCalidadFaltante[Nitrógeno estimado (%)],MATCH(tblCalidadCalculada[[#This Row],[Muestra]],tblCalidadFaltante[Muestra],0)),"")</f>
        <v/>
      </c>
      <c r="O83" s="14">
        <f>IF(tblCalidadCalculada[[#This Row],[Estado de la medición]]="estimated",INDEX(tblCalidadFaltante[FDA estimada (%)],MATCH(tblCalidadCalculada[[#This Row],[Muestra]],tblCalidadFaltante[Muestra],0)),"")</f>
        <v/>
      </c>
      <c r="P83" s="14">
        <f>IF(tblCalidadCalculada[[#This Row],[Estado de la medición]]="estimated",INDEX(tblCalidadFaltante[FDN estimada (%)],MATCH(tblCalidadCalculada[[#This Row],[Muestra]],tblCalidadFaltante[Muestra],0)),"")</f>
        <v/>
      </c>
      <c r="Q83" s="14">
        <f>tblCalidadCalculada[[#This Row],[Biomasa informada enlazada (kg MS/ha)]]*tblCalidadCalculada[[#This Row],[Nitrógeno efectivo (%)]]/100</f>
        <v/>
      </c>
      <c r="R83" s="14">
        <f>4.8*(tblCalidadCalculada[[#This Row],[Biomasa informada enlazada (kg MS/ha)]]/1000)^(-0.32)</f>
        <v/>
      </c>
      <c r="S83" s="14">
        <f>tblCalidadCalculada[[#This Row],[Nitrógeno efectivo (%)]]/tblCalidadCalculada[[#This Row],[Concentración crítica de nitrógeno (%)]]</f>
        <v/>
      </c>
      <c r="T83" s="6" t="inlineStr">
        <is>
          <t>from_measured_quality</t>
        </is>
      </c>
    </row>
    <row r="84">
      <c r="A84" s="12" t="n">
        <v>80</v>
      </c>
      <c r="B84" s="13">
        <f>INDEX(tblCalidadRegistrada[Fecha],MATCH(tblCalidadCalculada[[#This Row],[Muestra]],tblCalidadRegistrada[Muestra],0))</f>
        <v/>
      </c>
      <c r="C84" s="6">
        <f>INDEX(tblCalidadRegistrada[Sector hídrico],MATCH(tblCalidadCalculada[[#This Row],[Muestra]],tblCalidadRegistrada[Muestra],0))</f>
        <v/>
      </c>
      <c r="D84" s="6">
        <f>INDEX(tblCalidadRegistrada[Tratamiento],MATCH(tblCalidadCalculada[[#This Row],[Muestra]],tblCalidadRegistrada[Muestra],0))</f>
        <v/>
      </c>
      <c r="E84" s="6">
        <f>INDEX(tblCalidadRegistrada[Bloque],MATCH(tblCalidadCalculada[[#This Row],[Muestra]],tblCalidadRegistrada[Muestra],0))</f>
        <v/>
      </c>
      <c r="F84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84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84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84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84" s="6">
        <f>INDEX(tblCalidadRegistrada[Estado de la medición],MATCH(tblCalidadCalculada[[#This Row],[Muestra]],tblCalidadRegistrada[Muestra],0))</f>
        <v/>
      </c>
      <c r="K84" s="6">
        <f>INDEX(tblCalidadRegistrada[Origen del dato],MATCH(tblCalidadCalculada[[#This Row],[Muestra]],tblCalidadRegistrada[Muestra],0))</f>
        <v/>
      </c>
      <c r="L84" s="14">
        <f>INDEX(tblMSCalculada[Biomasa informada en el libro histórico (kg MS/ha)],MATCH(tblCalidadCalculada[[#This Row],[Muestra]],tblMSCalculada[Muestra],0))</f>
        <v/>
      </c>
      <c r="M84" s="14">
        <f>IF(tblCalidadCalculada[[#This Row],[Nitrógeno medido (%)]]="",tblCalidadCalculada[[#This Row],[Nitrógeno estimado (%)]],tblCalidadCalculada[[#This Row],[Nitrógeno medido (%)]])</f>
        <v/>
      </c>
      <c r="N84" s="14">
        <f>IF(tblCalidadCalculada[[#This Row],[Estado de la medición]]="estimated",INDEX(tblCalidadFaltante[Nitrógeno estimado (%)],MATCH(tblCalidadCalculada[[#This Row],[Muestra]],tblCalidadFaltante[Muestra],0)),"")</f>
        <v/>
      </c>
      <c r="O84" s="14">
        <f>IF(tblCalidadCalculada[[#This Row],[Estado de la medición]]="estimated",INDEX(tblCalidadFaltante[FDA estimada (%)],MATCH(tblCalidadCalculada[[#This Row],[Muestra]],tblCalidadFaltante[Muestra],0)),"")</f>
        <v/>
      </c>
      <c r="P84" s="14">
        <f>IF(tblCalidadCalculada[[#This Row],[Estado de la medición]]="estimated",INDEX(tblCalidadFaltante[FDN estimada (%)],MATCH(tblCalidadCalculada[[#This Row],[Muestra]],tblCalidadFaltante[Muestra],0)),"")</f>
        <v/>
      </c>
      <c r="Q84" s="14">
        <f>tblCalidadCalculada[[#This Row],[Biomasa informada enlazada (kg MS/ha)]]*tblCalidadCalculada[[#This Row],[Nitrógeno efectivo (%)]]/100</f>
        <v/>
      </c>
      <c r="R84" s="14">
        <f>4.8*(tblCalidadCalculada[[#This Row],[Biomasa informada enlazada (kg MS/ha)]]/1000)^(-0.32)</f>
        <v/>
      </c>
      <c r="S84" s="14">
        <f>tblCalidadCalculada[[#This Row],[Nitrógeno efectivo (%)]]/tblCalidadCalculada[[#This Row],[Concentración crítica de nitrógeno (%)]]</f>
        <v/>
      </c>
      <c r="T84" s="6" t="inlineStr">
        <is>
          <t>from_measured_quality</t>
        </is>
      </c>
    </row>
    <row r="85">
      <c r="A85" s="12" t="n">
        <v>81</v>
      </c>
      <c r="B85" s="13">
        <f>INDEX(tblCalidadRegistrada[Fecha],MATCH(tblCalidadCalculada[[#This Row],[Muestra]],tblCalidadRegistrada[Muestra],0))</f>
        <v/>
      </c>
      <c r="C85" s="6">
        <f>INDEX(tblCalidadRegistrada[Sector hídrico],MATCH(tblCalidadCalculada[[#This Row],[Muestra]],tblCalidadRegistrada[Muestra],0))</f>
        <v/>
      </c>
      <c r="D85" s="6">
        <f>INDEX(tblCalidadRegistrada[Tratamiento],MATCH(tblCalidadCalculada[[#This Row],[Muestra]],tblCalidadRegistrada[Muestra],0))</f>
        <v/>
      </c>
      <c r="E85" s="6">
        <f>INDEX(tblCalidadRegistrada[Bloque],MATCH(tblCalidadCalculada[[#This Row],[Muestra]],tblCalidadRegistrada[Muestra],0))</f>
        <v/>
      </c>
      <c r="F85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85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85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85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85" s="6">
        <f>INDEX(tblCalidadRegistrada[Estado de la medición],MATCH(tblCalidadCalculada[[#This Row],[Muestra]],tblCalidadRegistrada[Muestra],0))</f>
        <v/>
      </c>
      <c r="K85" s="6">
        <f>INDEX(tblCalidadRegistrada[Origen del dato],MATCH(tblCalidadCalculada[[#This Row],[Muestra]],tblCalidadRegistrada[Muestra],0))</f>
        <v/>
      </c>
      <c r="L85" s="14">
        <f>INDEX(tblMSCalculada[Biomasa informada en el libro histórico (kg MS/ha)],MATCH(tblCalidadCalculada[[#This Row],[Muestra]],tblMSCalculada[Muestra],0))</f>
        <v/>
      </c>
      <c r="M85" s="14">
        <f>IF(tblCalidadCalculada[[#This Row],[Nitrógeno medido (%)]]="",tblCalidadCalculada[[#This Row],[Nitrógeno estimado (%)]],tblCalidadCalculada[[#This Row],[Nitrógeno medido (%)]])</f>
        <v/>
      </c>
      <c r="N85" s="14">
        <f>IF(tblCalidadCalculada[[#This Row],[Estado de la medición]]="estimated",INDEX(tblCalidadFaltante[Nitrógeno estimado (%)],MATCH(tblCalidadCalculada[[#This Row],[Muestra]],tblCalidadFaltante[Muestra],0)),"")</f>
        <v/>
      </c>
      <c r="O85" s="14">
        <f>IF(tblCalidadCalculada[[#This Row],[Estado de la medición]]="estimated",INDEX(tblCalidadFaltante[FDA estimada (%)],MATCH(tblCalidadCalculada[[#This Row],[Muestra]],tblCalidadFaltante[Muestra],0)),"")</f>
        <v/>
      </c>
      <c r="P85" s="14">
        <f>IF(tblCalidadCalculada[[#This Row],[Estado de la medición]]="estimated",INDEX(tblCalidadFaltante[FDN estimada (%)],MATCH(tblCalidadCalculada[[#This Row],[Muestra]],tblCalidadFaltante[Muestra],0)),"")</f>
        <v/>
      </c>
      <c r="Q85" s="14">
        <f>tblCalidadCalculada[[#This Row],[Biomasa informada enlazada (kg MS/ha)]]*tblCalidadCalculada[[#This Row],[Nitrógeno efectivo (%)]]/100</f>
        <v/>
      </c>
      <c r="R85" s="14">
        <f>4.8*(tblCalidadCalculada[[#This Row],[Biomasa informada enlazada (kg MS/ha)]]/1000)^(-0.32)</f>
        <v/>
      </c>
      <c r="S85" s="14">
        <f>tblCalidadCalculada[[#This Row],[Nitrógeno efectivo (%)]]/tblCalidadCalculada[[#This Row],[Concentración crítica de nitrógeno (%)]]</f>
        <v/>
      </c>
      <c r="T85" s="6" t="inlineStr">
        <is>
          <t>from_measured_quality</t>
        </is>
      </c>
    </row>
    <row r="86">
      <c r="A86" s="12" t="n">
        <v>82</v>
      </c>
      <c r="B86" s="13">
        <f>INDEX(tblCalidadRegistrada[Fecha],MATCH(tblCalidadCalculada[[#This Row],[Muestra]],tblCalidadRegistrada[Muestra],0))</f>
        <v/>
      </c>
      <c r="C86" s="6">
        <f>INDEX(tblCalidadRegistrada[Sector hídrico],MATCH(tblCalidadCalculada[[#This Row],[Muestra]],tblCalidadRegistrada[Muestra],0))</f>
        <v/>
      </c>
      <c r="D86" s="6">
        <f>INDEX(tblCalidadRegistrada[Tratamiento],MATCH(tblCalidadCalculada[[#This Row],[Muestra]],tblCalidadRegistrada[Muestra],0))</f>
        <v/>
      </c>
      <c r="E86" s="6">
        <f>INDEX(tblCalidadRegistrada[Bloque],MATCH(tblCalidadCalculada[[#This Row],[Muestra]],tblCalidadRegistrada[Muestra],0))</f>
        <v/>
      </c>
      <c r="F86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86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86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86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86" s="6">
        <f>INDEX(tblCalidadRegistrada[Estado de la medición],MATCH(tblCalidadCalculada[[#This Row],[Muestra]],tblCalidadRegistrada[Muestra],0))</f>
        <v/>
      </c>
      <c r="K86" s="6">
        <f>INDEX(tblCalidadRegistrada[Origen del dato],MATCH(tblCalidadCalculada[[#This Row],[Muestra]],tblCalidadRegistrada[Muestra],0))</f>
        <v/>
      </c>
      <c r="L86" s="14">
        <f>INDEX(tblMSCalculada[Biomasa informada en el libro histórico (kg MS/ha)],MATCH(tblCalidadCalculada[[#This Row],[Muestra]],tblMSCalculada[Muestra],0))</f>
        <v/>
      </c>
      <c r="M86" s="14">
        <f>IF(tblCalidadCalculada[[#This Row],[Nitrógeno medido (%)]]="",tblCalidadCalculada[[#This Row],[Nitrógeno estimado (%)]],tblCalidadCalculada[[#This Row],[Nitrógeno medido (%)]])</f>
        <v/>
      </c>
      <c r="N86" s="14">
        <f>IF(tblCalidadCalculada[[#This Row],[Estado de la medición]]="estimated",INDEX(tblCalidadFaltante[Nitrógeno estimado (%)],MATCH(tblCalidadCalculada[[#This Row],[Muestra]],tblCalidadFaltante[Muestra],0)),"")</f>
        <v/>
      </c>
      <c r="O86" s="14">
        <f>IF(tblCalidadCalculada[[#This Row],[Estado de la medición]]="estimated",INDEX(tblCalidadFaltante[FDA estimada (%)],MATCH(tblCalidadCalculada[[#This Row],[Muestra]],tblCalidadFaltante[Muestra],0)),"")</f>
        <v/>
      </c>
      <c r="P86" s="14">
        <f>IF(tblCalidadCalculada[[#This Row],[Estado de la medición]]="estimated",INDEX(tblCalidadFaltante[FDN estimada (%)],MATCH(tblCalidadCalculada[[#This Row],[Muestra]],tblCalidadFaltante[Muestra],0)),"")</f>
        <v/>
      </c>
      <c r="Q86" s="14">
        <f>tblCalidadCalculada[[#This Row],[Biomasa informada enlazada (kg MS/ha)]]*tblCalidadCalculada[[#This Row],[Nitrógeno efectivo (%)]]/100</f>
        <v/>
      </c>
      <c r="R86" s="14">
        <f>4.8*(tblCalidadCalculada[[#This Row],[Biomasa informada enlazada (kg MS/ha)]]/1000)^(-0.32)</f>
        <v/>
      </c>
      <c r="S86" s="14">
        <f>tblCalidadCalculada[[#This Row],[Nitrógeno efectivo (%)]]/tblCalidadCalculada[[#This Row],[Concentración crítica de nitrógeno (%)]]</f>
        <v/>
      </c>
      <c r="T86" s="6" t="inlineStr">
        <is>
          <t>from_measured_quality</t>
        </is>
      </c>
    </row>
    <row r="87">
      <c r="A87" s="12" t="n">
        <v>83</v>
      </c>
      <c r="B87" s="13">
        <f>INDEX(tblCalidadRegistrada[Fecha],MATCH(tblCalidadCalculada[[#This Row],[Muestra]],tblCalidadRegistrada[Muestra],0))</f>
        <v/>
      </c>
      <c r="C87" s="6">
        <f>INDEX(tblCalidadRegistrada[Sector hídrico],MATCH(tblCalidadCalculada[[#This Row],[Muestra]],tblCalidadRegistrada[Muestra],0))</f>
        <v/>
      </c>
      <c r="D87" s="6">
        <f>INDEX(tblCalidadRegistrada[Tratamiento],MATCH(tblCalidadCalculada[[#This Row],[Muestra]],tblCalidadRegistrada[Muestra],0))</f>
        <v/>
      </c>
      <c r="E87" s="6">
        <f>INDEX(tblCalidadRegistrada[Bloque],MATCH(tblCalidadCalculada[[#This Row],[Muestra]],tblCalidadRegistrada[Muestra],0))</f>
        <v/>
      </c>
      <c r="F87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87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87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87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87" s="6">
        <f>INDEX(tblCalidadRegistrada[Estado de la medición],MATCH(tblCalidadCalculada[[#This Row],[Muestra]],tblCalidadRegistrada[Muestra],0))</f>
        <v/>
      </c>
      <c r="K87" s="6">
        <f>INDEX(tblCalidadRegistrada[Origen del dato],MATCH(tblCalidadCalculada[[#This Row],[Muestra]],tblCalidadRegistrada[Muestra],0))</f>
        <v/>
      </c>
      <c r="L87" s="14">
        <f>INDEX(tblMSCalculada[Biomasa informada en el libro histórico (kg MS/ha)],MATCH(tblCalidadCalculada[[#This Row],[Muestra]],tblMSCalculada[Muestra],0))</f>
        <v/>
      </c>
      <c r="M87" s="14">
        <f>IF(tblCalidadCalculada[[#This Row],[Nitrógeno medido (%)]]="",tblCalidadCalculada[[#This Row],[Nitrógeno estimado (%)]],tblCalidadCalculada[[#This Row],[Nitrógeno medido (%)]])</f>
        <v/>
      </c>
      <c r="N87" s="14">
        <f>IF(tblCalidadCalculada[[#This Row],[Estado de la medición]]="estimated",INDEX(tblCalidadFaltante[Nitrógeno estimado (%)],MATCH(tblCalidadCalculada[[#This Row],[Muestra]],tblCalidadFaltante[Muestra],0)),"")</f>
        <v/>
      </c>
      <c r="O87" s="14">
        <f>IF(tblCalidadCalculada[[#This Row],[Estado de la medición]]="estimated",INDEX(tblCalidadFaltante[FDA estimada (%)],MATCH(tblCalidadCalculada[[#This Row],[Muestra]],tblCalidadFaltante[Muestra],0)),"")</f>
        <v/>
      </c>
      <c r="P87" s="14">
        <f>IF(tblCalidadCalculada[[#This Row],[Estado de la medición]]="estimated",INDEX(tblCalidadFaltante[FDN estimada (%)],MATCH(tblCalidadCalculada[[#This Row],[Muestra]],tblCalidadFaltante[Muestra],0)),"")</f>
        <v/>
      </c>
      <c r="Q87" s="14">
        <f>tblCalidadCalculada[[#This Row],[Biomasa informada enlazada (kg MS/ha)]]*tblCalidadCalculada[[#This Row],[Nitrógeno efectivo (%)]]/100</f>
        <v/>
      </c>
      <c r="R87" s="14">
        <f>4.8*(tblCalidadCalculada[[#This Row],[Biomasa informada enlazada (kg MS/ha)]]/1000)^(-0.32)</f>
        <v/>
      </c>
      <c r="S87" s="14">
        <f>tblCalidadCalculada[[#This Row],[Nitrógeno efectivo (%)]]/tblCalidadCalculada[[#This Row],[Concentración crítica de nitrógeno (%)]]</f>
        <v/>
      </c>
      <c r="T87" s="6" t="inlineStr">
        <is>
          <t>from_measured_quality</t>
        </is>
      </c>
    </row>
    <row r="88">
      <c r="A88" s="12" t="n">
        <v>84</v>
      </c>
      <c r="B88" s="13">
        <f>INDEX(tblCalidadRegistrada[Fecha],MATCH(tblCalidadCalculada[[#This Row],[Muestra]],tblCalidadRegistrada[Muestra],0))</f>
        <v/>
      </c>
      <c r="C88" s="6">
        <f>INDEX(tblCalidadRegistrada[Sector hídrico],MATCH(tblCalidadCalculada[[#This Row],[Muestra]],tblCalidadRegistrada[Muestra],0))</f>
        <v/>
      </c>
      <c r="D88" s="6">
        <f>INDEX(tblCalidadRegistrada[Tratamiento],MATCH(tblCalidadCalculada[[#This Row],[Muestra]],tblCalidadRegistrada[Muestra],0))</f>
        <v/>
      </c>
      <c r="E88" s="6">
        <f>INDEX(tblCalidadRegistrada[Bloque],MATCH(tblCalidadCalculada[[#This Row],[Muestra]],tblCalidadRegistrada[Muestra],0))</f>
        <v/>
      </c>
      <c r="F88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88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88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88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88" s="6">
        <f>INDEX(tblCalidadRegistrada[Estado de la medición],MATCH(tblCalidadCalculada[[#This Row],[Muestra]],tblCalidadRegistrada[Muestra],0))</f>
        <v/>
      </c>
      <c r="K88" s="6">
        <f>INDEX(tblCalidadRegistrada[Origen del dato],MATCH(tblCalidadCalculada[[#This Row],[Muestra]],tblCalidadRegistrada[Muestra],0))</f>
        <v/>
      </c>
      <c r="L88" s="14">
        <f>INDEX(tblMSCalculada[Biomasa informada en el libro histórico (kg MS/ha)],MATCH(tblCalidadCalculada[[#This Row],[Muestra]],tblMSCalculada[Muestra],0))</f>
        <v/>
      </c>
      <c r="M88" s="14">
        <f>IF(tblCalidadCalculada[[#This Row],[Nitrógeno medido (%)]]="",tblCalidadCalculada[[#This Row],[Nitrógeno estimado (%)]],tblCalidadCalculada[[#This Row],[Nitrógeno medido (%)]])</f>
        <v/>
      </c>
      <c r="N88" s="14">
        <f>IF(tblCalidadCalculada[[#This Row],[Estado de la medición]]="estimated",INDEX(tblCalidadFaltante[Nitrógeno estimado (%)],MATCH(tblCalidadCalculada[[#This Row],[Muestra]],tblCalidadFaltante[Muestra],0)),"")</f>
        <v/>
      </c>
      <c r="O88" s="14">
        <f>IF(tblCalidadCalculada[[#This Row],[Estado de la medición]]="estimated",INDEX(tblCalidadFaltante[FDA estimada (%)],MATCH(tblCalidadCalculada[[#This Row],[Muestra]],tblCalidadFaltante[Muestra],0)),"")</f>
        <v/>
      </c>
      <c r="P88" s="14">
        <f>IF(tblCalidadCalculada[[#This Row],[Estado de la medición]]="estimated",INDEX(tblCalidadFaltante[FDN estimada (%)],MATCH(tblCalidadCalculada[[#This Row],[Muestra]],tblCalidadFaltante[Muestra],0)),"")</f>
        <v/>
      </c>
      <c r="Q88" s="14">
        <f>tblCalidadCalculada[[#This Row],[Biomasa informada enlazada (kg MS/ha)]]*tblCalidadCalculada[[#This Row],[Nitrógeno efectivo (%)]]/100</f>
        <v/>
      </c>
      <c r="R88" s="14">
        <f>4.8*(tblCalidadCalculada[[#This Row],[Biomasa informada enlazada (kg MS/ha)]]/1000)^(-0.32)</f>
        <v/>
      </c>
      <c r="S88" s="14">
        <f>tblCalidadCalculada[[#This Row],[Nitrógeno efectivo (%)]]/tblCalidadCalculada[[#This Row],[Concentración crítica de nitrógeno (%)]]</f>
        <v/>
      </c>
      <c r="T88" s="6" t="inlineStr">
        <is>
          <t>from_measured_quality</t>
        </is>
      </c>
    </row>
    <row r="89">
      <c r="A89" s="12" t="n">
        <v>85</v>
      </c>
      <c r="B89" s="13">
        <f>INDEX(tblCalidadRegistrada[Fecha],MATCH(tblCalidadCalculada[[#This Row],[Muestra]],tblCalidadRegistrada[Muestra],0))</f>
        <v/>
      </c>
      <c r="C89" s="6">
        <f>INDEX(tblCalidadRegistrada[Sector hídrico],MATCH(tblCalidadCalculada[[#This Row],[Muestra]],tblCalidadRegistrada[Muestra],0))</f>
        <v/>
      </c>
      <c r="D89" s="6">
        <f>INDEX(tblCalidadRegistrada[Tratamiento],MATCH(tblCalidadCalculada[[#This Row],[Muestra]],tblCalidadRegistrada[Muestra],0))</f>
        <v/>
      </c>
      <c r="E89" s="6">
        <f>INDEX(tblCalidadRegistrada[Bloque],MATCH(tblCalidadCalculada[[#This Row],[Muestra]],tblCalidadRegistrada[Muestra],0))</f>
        <v/>
      </c>
      <c r="F89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89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89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89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89" s="6">
        <f>INDEX(tblCalidadRegistrada[Estado de la medición],MATCH(tblCalidadCalculada[[#This Row],[Muestra]],tblCalidadRegistrada[Muestra],0))</f>
        <v/>
      </c>
      <c r="K89" s="6">
        <f>INDEX(tblCalidadRegistrada[Origen del dato],MATCH(tblCalidadCalculada[[#This Row],[Muestra]],tblCalidadRegistrada[Muestra],0))</f>
        <v/>
      </c>
      <c r="L89" s="14">
        <f>INDEX(tblMSCalculada[Biomasa informada en el libro histórico (kg MS/ha)],MATCH(tblCalidadCalculada[[#This Row],[Muestra]],tblMSCalculada[Muestra],0))</f>
        <v/>
      </c>
      <c r="M89" s="14">
        <f>IF(tblCalidadCalculada[[#This Row],[Nitrógeno medido (%)]]="",tblCalidadCalculada[[#This Row],[Nitrógeno estimado (%)]],tblCalidadCalculada[[#This Row],[Nitrógeno medido (%)]])</f>
        <v/>
      </c>
      <c r="N89" s="14">
        <f>IF(tblCalidadCalculada[[#This Row],[Estado de la medición]]="estimated",INDEX(tblCalidadFaltante[Nitrógeno estimado (%)],MATCH(tblCalidadCalculada[[#This Row],[Muestra]],tblCalidadFaltante[Muestra],0)),"")</f>
        <v/>
      </c>
      <c r="O89" s="14">
        <f>IF(tblCalidadCalculada[[#This Row],[Estado de la medición]]="estimated",INDEX(tblCalidadFaltante[FDA estimada (%)],MATCH(tblCalidadCalculada[[#This Row],[Muestra]],tblCalidadFaltante[Muestra],0)),"")</f>
        <v/>
      </c>
      <c r="P89" s="14">
        <f>IF(tblCalidadCalculada[[#This Row],[Estado de la medición]]="estimated",INDEX(tblCalidadFaltante[FDN estimada (%)],MATCH(tblCalidadCalculada[[#This Row],[Muestra]],tblCalidadFaltante[Muestra],0)),"")</f>
        <v/>
      </c>
      <c r="Q89" s="14">
        <f>tblCalidadCalculada[[#This Row],[Biomasa informada enlazada (kg MS/ha)]]*tblCalidadCalculada[[#This Row],[Nitrógeno efectivo (%)]]/100</f>
        <v/>
      </c>
      <c r="R89" s="14">
        <f>4.8*(tblCalidadCalculada[[#This Row],[Biomasa informada enlazada (kg MS/ha)]]/1000)^(-0.32)</f>
        <v/>
      </c>
      <c r="S89" s="14">
        <f>tblCalidadCalculada[[#This Row],[Nitrógeno efectivo (%)]]/tblCalidadCalculada[[#This Row],[Concentración crítica de nitrógeno (%)]]</f>
        <v/>
      </c>
      <c r="T89" s="6" t="inlineStr">
        <is>
          <t>from_measured_quality</t>
        </is>
      </c>
    </row>
    <row r="90">
      <c r="A90" s="12" t="n">
        <v>86</v>
      </c>
      <c r="B90" s="13">
        <f>INDEX(tblCalidadRegistrada[Fecha],MATCH(tblCalidadCalculada[[#This Row],[Muestra]],tblCalidadRegistrada[Muestra],0))</f>
        <v/>
      </c>
      <c r="C90" s="6">
        <f>INDEX(tblCalidadRegistrada[Sector hídrico],MATCH(tblCalidadCalculada[[#This Row],[Muestra]],tblCalidadRegistrada[Muestra],0))</f>
        <v/>
      </c>
      <c r="D90" s="6">
        <f>INDEX(tblCalidadRegistrada[Tratamiento],MATCH(tblCalidadCalculada[[#This Row],[Muestra]],tblCalidadRegistrada[Muestra],0))</f>
        <v/>
      </c>
      <c r="E90" s="6">
        <f>INDEX(tblCalidadRegistrada[Bloque],MATCH(tblCalidadCalculada[[#This Row],[Muestra]],tblCalidadRegistrada[Muestra],0))</f>
        <v/>
      </c>
      <c r="F90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90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90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90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90" s="6">
        <f>INDEX(tblCalidadRegistrada[Estado de la medición],MATCH(tblCalidadCalculada[[#This Row],[Muestra]],tblCalidadRegistrada[Muestra],0))</f>
        <v/>
      </c>
      <c r="K90" s="6">
        <f>INDEX(tblCalidadRegistrada[Origen del dato],MATCH(tblCalidadCalculada[[#This Row],[Muestra]],tblCalidadRegistrada[Muestra],0))</f>
        <v/>
      </c>
      <c r="L90" s="14">
        <f>INDEX(tblMSCalculada[Biomasa informada en el libro histórico (kg MS/ha)],MATCH(tblCalidadCalculada[[#This Row],[Muestra]],tblMSCalculada[Muestra],0))</f>
        <v/>
      </c>
      <c r="M90" s="14">
        <f>IF(tblCalidadCalculada[[#This Row],[Nitrógeno medido (%)]]="",tblCalidadCalculada[[#This Row],[Nitrógeno estimado (%)]],tblCalidadCalculada[[#This Row],[Nitrógeno medido (%)]])</f>
        <v/>
      </c>
      <c r="N90" s="14">
        <f>IF(tblCalidadCalculada[[#This Row],[Estado de la medición]]="estimated",INDEX(tblCalidadFaltante[Nitrógeno estimado (%)],MATCH(tblCalidadCalculada[[#This Row],[Muestra]],tblCalidadFaltante[Muestra],0)),"")</f>
        <v/>
      </c>
      <c r="O90" s="14">
        <f>IF(tblCalidadCalculada[[#This Row],[Estado de la medición]]="estimated",INDEX(tblCalidadFaltante[FDA estimada (%)],MATCH(tblCalidadCalculada[[#This Row],[Muestra]],tblCalidadFaltante[Muestra],0)),"")</f>
        <v/>
      </c>
      <c r="P90" s="14">
        <f>IF(tblCalidadCalculada[[#This Row],[Estado de la medición]]="estimated",INDEX(tblCalidadFaltante[FDN estimada (%)],MATCH(tblCalidadCalculada[[#This Row],[Muestra]],tblCalidadFaltante[Muestra],0)),"")</f>
        <v/>
      </c>
      <c r="Q90" s="14">
        <f>tblCalidadCalculada[[#This Row],[Biomasa informada enlazada (kg MS/ha)]]*tblCalidadCalculada[[#This Row],[Nitrógeno efectivo (%)]]/100</f>
        <v/>
      </c>
      <c r="R90" s="14">
        <f>4.8*(tblCalidadCalculada[[#This Row],[Biomasa informada enlazada (kg MS/ha)]]/1000)^(-0.32)</f>
        <v/>
      </c>
      <c r="S90" s="14">
        <f>tblCalidadCalculada[[#This Row],[Nitrógeno efectivo (%)]]/tblCalidadCalculada[[#This Row],[Concentración crítica de nitrógeno (%)]]</f>
        <v/>
      </c>
      <c r="T90" s="6" t="inlineStr">
        <is>
          <t>from_measured_quality</t>
        </is>
      </c>
    </row>
    <row r="91">
      <c r="A91" s="12" t="n">
        <v>87</v>
      </c>
      <c r="B91" s="13">
        <f>INDEX(tblCalidadRegistrada[Fecha],MATCH(tblCalidadCalculada[[#This Row],[Muestra]],tblCalidadRegistrada[Muestra],0))</f>
        <v/>
      </c>
      <c r="C91" s="6">
        <f>INDEX(tblCalidadRegistrada[Sector hídrico],MATCH(tblCalidadCalculada[[#This Row],[Muestra]],tblCalidadRegistrada[Muestra],0))</f>
        <v/>
      </c>
      <c r="D91" s="6">
        <f>INDEX(tblCalidadRegistrada[Tratamiento],MATCH(tblCalidadCalculada[[#This Row],[Muestra]],tblCalidadRegistrada[Muestra],0))</f>
        <v/>
      </c>
      <c r="E91" s="6">
        <f>INDEX(tblCalidadRegistrada[Bloque],MATCH(tblCalidadCalculada[[#This Row],[Muestra]],tblCalidadRegistrada[Muestra],0))</f>
        <v/>
      </c>
      <c r="F91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91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91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91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91" s="6">
        <f>INDEX(tblCalidadRegistrada[Estado de la medición],MATCH(tblCalidadCalculada[[#This Row],[Muestra]],tblCalidadRegistrada[Muestra],0))</f>
        <v/>
      </c>
      <c r="K91" s="6">
        <f>INDEX(tblCalidadRegistrada[Origen del dato],MATCH(tblCalidadCalculada[[#This Row],[Muestra]],tblCalidadRegistrada[Muestra],0))</f>
        <v/>
      </c>
      <c r="L91" s="14">
        <f>INDEX(tblMSCalculada[Biomasa informada en el libro histórico (kg MS/ha)],MATCH(tblCalidadCalculada[[#This Row],[Muestra]],tblMSCalculada[Muestra],0))</f>
        <v/>
      </c>
      <c r="M91" s="14">
        <f>IF(tblCalidadCalculada[[#This Row],[Nitrógeno medido (%)]]="",tblCalidadCalculada[[#This Row],[Nitrógeno estimado (%)]],tblCalidadCalculada[[#This Row],[Nitrógeno medido (%)]])</f>
        <v/>
      </c>
      <c r="N91" s="14">
        <f>IF(tblCalidadCalculada[[#This Row],[Estado de la medición]]="estimated",INDEX(tblCalidadFaltante[Nitrógeno estimado (%)],MATCH(tblCalidadCalculada[[#This Row],[Muestra]],tblCalidadFaltante[Muestra],0)),"")</f>
        <v/>
      </c>
      <c r="O91" s="14">
        <f>IF(tblCalidadCalculada[[#This Row],[Estado de la medición]]="estimated",INDEX(tblCalidadFaltante[FDA estimada (%)],MATCH(tblCalidadCalculada[[#This Row],[Muestra]],tblCalidadFaltante[Muestra],0)),"")</f>
        <v/>
      </c>
      <c r="P91" s="14">
        <f>IF(tblCalidadCalculada[[#This Row],[Estado de la medición]]="estimated",INDEX(tblCalidadFaltante[FDN estimada (%)],MATCH(tblCalidadCalculada[[#This Row],[Muestra]],tblCalidadFaltante[Muestra],0)),"")</f>
        <v/>
      </c>
      <c r="Q91" s="14">
        <f>tblCalidadCalculada[[#This Row],[Biomasa informada enlazada (kg MS/ha)]]*tblCalidadCalculada[[#This Row],[Nitrógeno efectivo (%)]]/100</f>
        <v/>
      </c>
      <c r="R91" s="14">
        <f>4.8*(tblCalidadCalculada[[#This Row],[Biomasa informada enlazada (kg MS/ha)]]/1000)^(-0.32)</f>
        <v/>
      </c>
      <c r="S91" s="14">
        <f>tblCalidadCalculada[[#This Row],[Nitrógeno efectivo (%)]]/tblCalidadCalculada[[#This Row],[Concentración crítica de nitrógeno (%)]]</f>
        <v/>
      </c>
      <c r="T91" s="6" t="inlineStr">
        <is>
          <t>from_measured_quality</t>
        </is>
      </c>
    </row>
    <row r="92">
      <c r="A92" s="12" t="n">
        <v>88</v>
      </c>
      <c r="B92" s="13">
        <f>INDEX(tblCalidadRegistrada[Fecha],MATCH(tblCalidadCalculada[[#This Row],[Muestra]],tblCalidadRegistrada[Muestra],0))</f>
        <v/>
      </c>
      <c r="C92" s="6">
        <f>INDEX(tblCalidadRegistrada[Sector hídrico],MATCH(tblCalidadCalculada[[#This Row],[Muestra]],tblCalidadRegistrada[Muestra],0))</f>
        <v/>
      </c>
      <c r="D92" s="6">
        <f>INDEX(tblCalidadRegistrada[Tratamiento],MATCH(tblCalidadCalculada[[#This Row],[Muestra]],tblCalidadRegistrada[Muestra],0))</f>
        <v/>
      </c>
      <c r="E92" s="6">
        <f>INDEX(tblCalidadRegistrada[Bloque],MATCH(tblCalidadCalculada[[#This Row],[Muestra]],tblCalidadRegistrada[Muestra],0))</f>
        <v/>
      </c>
      <c r="F92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92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92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92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92" s="6">
        <f>INDEX(tblCalidadRegistrada[Estado de la medición],MATCH(tblCalidadCalculada[[#This Row],[Muestra]],tblCalidadRegistrada[Muestra],0))</f>
        <v/>
      </c>
      <c r="K92" s="6">
        <f>INDEX(tblCalidadRegistrada[Origen del dato],MATCH(tblCalidadCalculada[[#This Row],[Muestra]],tblCalidadRegistrada[Muestra],0))</f>
        <v/>
      </c>
      <c r="L92" s="14">
        <f>INDEX(tblMSCalculada[Biomasa informada en el libro histórico (kg MS/ha)],MATCH(tblCalidadCalculada[[#This Row],[Muestra]],tblMSCalculada[Muestra],0))</f>
        <v/>
      </c>
      <c r="M92" s="14">
        <f>IF(tblCalidadCalculada[[#This Row],[Nitrógeno medido (%)]]="",tblCalidadCalculada[[#This Row],[Nitrógeno estimado (%)]],tblCalidadCalculada[[#This Row],[Nitrógeno medido (%)]])</f>
        <v/>
      </c>
      <c r="N92" s="14">
        <f>IF(tblCalidadCalculada[[#This Row],[Estado de la medición]]="estimated",INDEX(tblCalidadFaltante[Nitrógeno estimado (%)],MATCH(tblCalidadCalculada[[#This Row],[Muestra]],tblCalidadFaltante[Muestra],0)),"")</f>
        <v/>
      </c>
      <c r="O92" s="14">
        <f>IF(tblCalidadCalculada[[#This Row],[Estado de la medición]]="estimated",INDEX(tblCalidadFaltante[FDA estimada (%)],MATCH(tblCalidadCalculada[[#This Row],[Muestra]],tblCalidadFaltante[Muestra],0)),"")</f>
        <v/>
      </c>
      <c r="P92" s="14">
        <f>IF(tblCalidadCalculada[[#This Row],[Estado de la medición]]="estimated",INDEX(tblCalidadFaltante[FDN estimada (%)],MATCH(tblCalidadCalculada[[#This Row],[Muestra]],tblCalidadFaltante[Muestra],0)),"")</f>
        <v/>
      </c>
      <c r="Q92" s="14">
        <f>tblCalidadCalculada[[#This Row],[Biomasa informada enlazada (kg MS/ha)]]*tblCalidadCalculada[[#This Row],[Nitrógeno efectivo (%)]]/100</f>
        <v/>
      </c>
      <c r="R92" s="14">
        <f>4.8*(tblCalidadCalculada[[#This Row],[Biomasa informada enlazada (kg MS/ha)]]/1000)^(-0.32)</f>
        <v/>
      </c>
      <c r="S92" s="14">
        <f>tblCalidadCalculada[[#This Row],[Nitrógeno efectivo (%)]]/tblCalidadCalculada[[#This Row],[Concentración crítica de nitrógeno (%)]]</f>
        <v/>
      </c>
      <c r="T92" s="6" t="inlineStr">
        <is>
          <t>from_measured_quality</t>
        </is>
      </c>
    </row>
    <row r="93">
      <c r="A93" s="12" t="n">
        <v>89</v>
      </c>
      <c r="B93" s="13">
        <f>INDEX(tblCalidadRegistrada[Fecha],MATCH(tblCalidadCalculada[[#This Row],[Muestra]],tblCalidadRegistrada[Muestra],0))</f>
        <v/>
      </c>
      <c r="C93" s="6">
        <f>INDEX(tblCalidadRegistrada[Sector hídrico],MATCH(tblCalidadCalculada[[#This Row],[Muestra]],tblCalidadRegistrada[Muestra],0))</f>
        <v/>
      </c>
      <c r="D93" s="6">
        <f>INDEX(tblCalidadRegistrada[Tratamiento],MATCH(tblCalidadCalculada[[#This Row],[Muestra]],tblCalidadRegistrada[Muestra],0))</f>
        <v/>
      </c>
      <c r="E93" s="6">
        <f>INDEX(tblCalidadRegistrada[Bloque],MATCH(tblCalidadCalculada[[#This Row],[Muestra]],tblCalidadRegistrada[Muestra],0))</f>
        <v/>
      </c>
      <c r="F93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93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93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93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93" s="6">
        <f>INDEX(tblCalidadRegistrada[Estado de la medición],MATCH(tblCalidadCalculada[[#This Row],[Muestra]],tblCalidadRegistrada[Muestra],0))</f>
        <v/>
      </c>
      <c r="K93" s="6">
        <f>INDEX(tblCalidadRegistrada[Origen del dato],MATCH(tblCalidadCalculada[[#This Row],[Muestra]],tblCalidadRegistrada[Muestra],0))</f>
        <v/>
      </c>
      <c r="L93" s="14">
        <f>INDEX(tblMSCalculada[Biomasa informada en el libro histórico (kg MS/ha)],MATCH(tblCalidadCalculada[[#This Row],[Muestra]],tblMSCalculada[Muestra],0))</f>
        <v/>
      </c>
      <c r="M93" s="14">
        <f>IF(tblCalidadCalculada[[#This Row],[Nitrógeno medido (%)]]="",tblCalidadCalculada[[#This Row],[Nitrógeno estimado (%)]],tblCalidadCalculada[[#This Row],[Nitrógeno medido (%)]])</f>
        <v/>
      </c>
      <c r="N93" s="14">
        <f>IF(tblCalidadCalculada[[#This Row],[Estado de la medición]]="estimated",INDEX(tblCalidadFaltante[Nitrógeno estimado (%)],MATCH(tblCalidadCalculada[[#This Row],[Muestra]],tblCalidadFaltante[Muestra],0)),"")</f>
        <v/>
      </c>
      <c r="O93" s="14">
        <f>IF(tblCalidadCalculada[[#This Row],[Estado de la medición]]="estimated",INDEX(tblCalidadFaltante[FDA estimada (%)],MATCH(tblCalidadCalculada[[#This Row],[Muestra]],tblCalidadFaltante[Muestra],0)),"")</f>
        <v/>
      </c>
      <c r="P93" s="14">
        <f>IF(tblCalidadCalculada[[#This Row],[Estado de la medición]]="estimated",INDEX(tblCalidadFaltante[FDN estimada (%)],MATCH(tblCalidadCalculada[[#This Row],[Muestra]],tblCalidadFaltante[Muestra],0)),"")</f>
        <v/>
      </c>
      <c r="Q93" s="14">
        <f>tblCalidadCalculada[[#This Row],[Biomasa informada enlazada (kg MS/ha)]]*tblCalidadCalculada[[#This Row],[Nitrógeno efectivo (%)]]/100</f>
        <v/>
      </c>
      <c r="R93" s="14">
        <f>4.8*(tblCalidadCalculada[[#This Row],[Biomasa informada enlazada (kg MS/ha)]]/1000)^(-0.32)</f>
        <v/>
      </c>
      <c r="S93" s="14">
        <f>tblCalidadCalculada[[#This Row],[Nitrógeno efectivo (%)]]/tblCalidadCalculada[[#This Row],[Concentración crítica de nitrógeno (%)]]</f>
        <v/>
      </c>
      <c r="T93" s="6" t="inlineStr">
        <is>
          <t>from_measured_quality</t>
        </is>
      </c>
    </row>
    <row r="94">
      <c r="A94" s="12" t="n">
        <v>90</v>
      </c>
      <c r="B94" s="13">
        <f>INDEX(tblCalidadRegistrada[Fecha],MATCH(tblCalidadCalculada[[#This Row],[Muestra]],tblCalidadRegistrada[Muestra],0))</f>
        <v/>
      </c>
      <c r="C94" s="6">
        <f>INDEX(tblCalidadRegistrada[Sector hídrico],MATCH(tblCalidadCalculada[[#This Row],[Muestra]],tblCalidadRegistrada[Muestra],0))</f>
        <v/>
      </c>
      <c r="D94" s="6">
        <f>INDEX(tblCalidadRegistrada[Tratamiento],MATCH(tblCalidadCalculada[[#This Row],[Muestra]],tblCalidadRegistrada[Muestra],0))</f>
        <v/>
      </c>
      <c r="E94" s="6">
        <f>INDEX(tblCalidadRegistrada[Bloque],MATCH(tblCalidadCalculada[[#This Row],[Muestra]],tblCalidadRegistrada[Muestra],0))</f>
        <v/>
      </c>
      <c r="F94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94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94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94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94" s="6">
        <f>INDEX(tblCalidadRegistrada[Estado de la medición],MATCH(tblCalidadCalculada[[#This Row],[Muestra]],tblCalidadRegistrada[Muestra],0))</f>
        <v/>
      </c>
      <c r="K94" s="6">
        <f>INDEX(tblCalidadRegistrada[Origen del dato],MATCH(tblCalidadCalculada[[#This Row],[Muestra]],tblCalidadRegistrada[Muestra],0))</f>
        <v/>
      </c>
      <c r="L94" s="14">
        <f>INDEX(tblMSCalculada[Biomasa informada en el libro histórico (kg MS/ha)],MATCH(tblCalidadCalculada[[#This Row],[Muestra]],tblMSCalculada[Muestra],0))</f>
        <v/>
      </c>
      <c r="M94" s="14">
        <f>IF(tblCalidadCalculada[[#This Row],[Nitrógeno medido (%)]]="",tblCalidadCalculada[[#This Row],[Nitrógeno estimado (%)]],tblCalidadCalculada[[#This Row],[Nitrógeno medido (%)]])</f>
        <v/>
      </c>
      <c r="N94" s="14">
        <f>IF(tblCalidadCalculada[[#This Row],[Estado de la medición]]="estimated",INDEX(tblCalidadFaltante[Nitrógeno estimado (%)],MATCH(tblCalidadCalculada[[#This Row],[Muestra]],tblCalidadFaltante[Muestra],0)),"")</f>
        <v/>
      </c>
      <c r="O94" s="14">
        <f>IF(tblCalidadCalculada[[#This Row],[Estado de la medición]]="estimated",INDEX(tblCalidadFaltante[FDA estimada (%)],MATCH(tblCalidadCalculada[[#This Row],[Muestra]],tblCalidadFaltante[Muestra],0)),"")</f>
        <v/>
      </c>
      <c r="P94" s="14">
        <f>IF(tblCalidadCalculada[[#This Row],[Estado de la medición]]="estimated",INDEX(tblCalidadFaltante[FDN estimada (%)],MATCH(tblCalidadCalculada[[#This Row],[Muestra]],tblCalidadFaltante[Muestra],0)),"")</f>
        <v/>
      </c>
      <c r="Q94" s="14">
        <f>tblCalidadCalculada[[#This Row],[Biomasa informada enlazada (kg MS/ha)]]*tblCalidadCalculada[[#This Row],[Nitrógeno efectivo (%)]]/100</f>
        <v/>
      </c>
      <c r="R94" s="14">
        <f>4.8*(tblCalidadCalculada[[#This Row],[Biomasa informada enlazada (kg MS/ha)]]/1000)^(-0.32)</f>
        <v/>
      </c>
      <c r="S94" s="14">
        <f>tblCalidadCalculada[[#This Row],[Nitrógeno efectivo (%)]]/tblCalidadCalculada[[#This Row],[Concentración crítica de nitrógeno (%)]]</f>
        <v/>
      </c>
      <c r="T94" s="6" t="inlineStr">
        <is>
          <t>from_measured_quality</t>
        </is>
      </c>
    </row>
    <row r="95">
      <c r="A95" s="12" t="n">
        <v>91</v>
      </c>
      <c r="B95" s="13">
        <f>INDEX(tblCalidadRegistrada[Fecha],MATCH(tblCalidadCalculada[[#This Row],[Muestra]],tblCalidadRegistrada[Muestra],0))</f>
        <v/>
      </c>
      <c r="C95" s="6">
        <f>INDEX(tblCalidadRegistrada[Sector hídrico],MATCH(tblCalidadCalculada[[#This Row],[Muestra]],tblCalidadRegistrada[Muestra],0))</f>
        <v/>
      </c>
      <c r="D95" s="6">
        <f>INDEX(tblCalidadRegistrada[Tratamiento],MATCH(tblCalidadCalculada[[#This Row],[Muestra]],tblCalidadRegistrada[Muestra],0))</f>
        <v/>
      </c>
      <c r="E95" s="6">
        <f>INDEX(tblCalidadRegistrada[Bloque],MATCH(tblCalidadCalculada[[#This Row],[Muestra]],tblCalidadRegistrada[Muestra],0))</f>
        <v/>
      </c>
      <c r="F95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95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95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95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95" s="6">
        <f>INDEX(tblCalidadRegistrada[Estado de la medición],MATCH(tblCalidadCalculada[[#This Row],[Muestra]],tblCalidadRegistrada[Muestra],0))</f>
        <v/>
      </c>
      <c r="K95" s="6">
        <f>INDEX(tblCalidadRegistrada[Origen del dato],MATCH(tblCalidadCalculada[[#This Row],[Muestra]],tblCalidadRegistrada[Muestra],0))</f>
        <v/>
      </c>
      <c r="L95" s="14">
        <f>INDEX(tblMSCalculada[Biomasa informada en el libro histórico (kg MS/ha)],MATCH(tblCalidadCalculada[[#This Row],[Muestra]],tblMSCalculada[Muestra],0))</f>
        <v/>
      </c>
      <c r="M95" s="14">
        <f>IF(tblCalidadCalculada[[#This Row],[Nitrógeno medido (%)]]="",tblCalidadCalculada[[#This Row],[Nitrógeno estimado (%)]],tblCalidadCalculada[[#This Row],[Nitrógeno medido (%)]])</f>
        <v/>
      </c>
      <c r="N95" s="14">
        <f>IF(tblCalidadCalculada[[#This Row],[Estado de la medición]]="estimated",INDEX(tblCalidadFaltante[Nitrógeno estimado (%)],MATCH(tblCalidadCalculada[[#This Row],[Muestra]],tblCalidadFaltante[Muestra],0)),"")</f>
        <v/>
      </c>
      <c r="O95" s="14">
        <f>IF(tblCalidadCalculada[[#This Row],[Estado de la medición]]="estimated",INDEX(tblCalidadFaltante[FDA estimada (%)],MATCH(tblCalidadCalculada[[#This Row],[Muestra]],tblCalidadFaltante[Muestra],0)),"")</f>
        <v/>
      </c>
      <c r="P95" s="14">
        <f>IF(tblCalidadCalculada[[#This Row],[Estado de la medición]]="estimated",INDEX(tblCalidadFaltante[FDN estimada (%)],MATCH(tblCalidadCalculada[[#This Row],[Muestra]],tblCalidadFaltante[Muestra],0)),"")</f>
        <v/>
      </c>
      <c r="Q95" s="14">
        <f>tblCalidadCalculada[[#This Row],[Biomasa informada enlazada (kg MS/ha)]]*tblCalidadCalculada[[#This Row],[Nitrógeno efectivo (%)]]/100</f>
        <v/>
      </c>
      <c r="R95" s="14">
        <f>4.8*(tblCalidadCalculada[[#This Row],[Biomasa informada enlazada (kg MS/ha)]]/1000)^(-0.32)</f>
        <v/>
      </c>
      <c r="S95" s="14">
        <f>tblCalidadCalculada[[#This Row],[Nitrógeno efectivo (%)]]/tblCalidadCalculada[[#This Row],[Concentración crítica de nitrógeno (%)]]</f>
        <v/>
      </c>
      <c r="T95" s="6" t="inlineStr">
        <is>
          <t>from_measured_quality</t>
        </is>
      </c>
    </row>
    <row r="96">
      <c r="A96" s="12" t="n">
        <v>92</v>
      </c>
      <c r="B96" s="13">
        <f>INDEX(tblCalidadRegistrada[Fecha],MATCH(tblCalidadCalculada[[#This Row],[Muestra]],tblCalidadRegistrada[Muestra],0))</f>
        <v/>
      </c>
      <c r="C96" s="6">
        <f>INDEX(tblCalidadRegistrada[Sector hídrico],MATCH(tblCalidadCalculada[[#This Row],[Muestra]],tblCalidadRegistrada[Muestra],0))</f>
        <v/>
      </c>
      <c r="D96" s="6">
        <f>INDEX(tblCalidadRegistrada[Tratamiento],MATCH(tblCalidadCalculada[[#This Row],[Muestra]],tblCalidadRegistrada[Muestra],0))</f>
        <v/>
      </c>
      <c r="E96" s="6">
        <f>INDEX(tblCalidadRegistrada[Bloque],MATCH(tblCalidadCalculada[[#This Row],[Muestra]],tblCalidadRegistrada[Muestra],0))</f>
        <v/>
      </c>
      <c r="F96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96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96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96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96" s="6">
        <f>INDEX(tblCalidadRegistrada[Estado de la medición],MATCH(tblCalidadCalculada[[#This Row],[Muestra]],tblCalidadRegistrada[Muestra],0))</f>
        <v/>
      </c>
      <c r="K96" s="6">
        <f>INDEX(tblCalidadRegistrada[Origen del dato],MATCH(tblCalidadCalculada[[#This Row],[Muestra]],tblCalidadRegistrada[Muestra],0))</f>
        <v/>
      </c>
      <c r="L96" s="14">
        <f>INDEX(tblMSCalculada[Biomasa informada en el libro histórico (kg MS/ha)],MATCH(tblCalidadCalculada[[#This Row],[Muestra]],tblMSCalculada[Muestra],0))</f>
        <v/>
      </c>
      <c r="M96" s="14">
        <f>IF(tblCalidadCalculada[[#This Row],[Nitrógeno medido (%)]]="",tblCalidadCalculada[[#This Row],[Nitrógeno estimado (%)]],tblCalidadCalculada[[#This Row],[Nitrógeno medido (%)]])</f>
        <v/>
      </c>
      <c r="N96" s="14">
        <f>IF(tblCalidadCalculada[[#This Row],[Estado de la medición]]="estimated",INDEX(tblCalidadFaltante[Nitrógeno estimado (%)],MATCH(tblCalidadCalculada[[#This Row],[Muestra]],tblCalidadFaltante[Muestra],0)),"")</f>
        <v/>
      </c>
      <c r="O96" s="14">
        <f>IF(tblCalidadCalculada[[#This Row],[Estado de la medición]]="estimated",INDEX(tblCalidadFaltante[FDA estimada (%)],MATCH(tblCalidadCalculada[[#This Row],[Muestra]],tblCalidadFaltante[Muestra],0)),"")</f>
        <v/>
      </c>
      <c r="P96" s="14">
        <f>IF(tblCalidadCalculada[[#This Row],[Estado de la medición]]="estimated",INDEX(tblCalidadFaltante[FDN estimada (%)],MATCH(tblCalidadCalculada[[#This Row],[Muestra]],tblCalidadFaltante[Muestra],0)),"")</f>
        <v/>
      </c>
      <c r="Q96" s="14">
        <f>tblCalidadCalculada[[#This Row],[Biomasa informada enlazada (kg MS/ha)]]*tblCalidadCalculada[[#This Row],[Nitrógeno efectivo (%)]]/100</f>
        <v/>
      </c>
      <c r="R96" s="14">
        <f>4.8*(tblCalidadCalculada[[#This Row],[Biomasa informada enlazada (kg MS/ha)]]/1000)^(-0.32)</f>
        <v/>
      </c>
      <c r="S96" s="14">
        <f>tblCalidadCalculada[[#This Row],[Nitrógeno efectivo (%)]]/tblCalidadCalculada[[#This Row],[Concentración crítica de nitrógeno (%)]]</f>
        <v/>
      </c>
      <c r="T96" s="6" t="inlineStr">
        <is>
          <t>from_measured_quality</t>
        </is>
      </c>
    </row>
    <row r="97">
      <c r="A97" s="12" t="n">
        <v>93</v>
      </c>
      <c r="B97" s="13">
        <f>INDEX(tblCalidadRegistrada[Fecha],MATCH(tblCalidadCalculada[[#This Row],[Muestra]],tblCalidadRegistrada[Muestra],0))</f>
        <v/>
      </c>
      <c r="C97" s="6">
        <f>INDEX(tblCalidadRegistrada[Sector hídrico],MATCH(tblCalidadCalculada[[#This Row],[Muestra]],tblCalidadRegistrada[Muestra],0))</f>
        <v/>
      </c>
      <c r="D97" s="6">
        <f>INDEX(tblCalidadRegistrada[Tratamiento],MATCH(tblCalidadCalculada[[#This Row],[Muestra]],tblCalidadRegistrada[Muestra],0))</f>
        <v/>
      </c>
      <c r="E97" s="6">
        <f>INDEX(tblCalidadRegistrada[Bloque],MATCH(tblCalidadCalculada[[#This Row],[Muestra]],tblCalidadRegistrada[Muestra],0))</f>
        <v/>
      </c>
      <c r="F97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97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97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97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97" s="6">
        <f>INDEX(tblCalidadRegistrada[Estado de la medición],MATCH(tblCalidadCalculada[[#This Row],[Muestra]],tblCalidadRegistrada[Muestra],0))</f>
        <v/>
      </c>
      <c r="K97" s="6">
        <f>INDEX(tblCalidadRegistrada[Origen del dato],MATCH(tblCalidadCalculada[[#This Row],[Muestra]],tblCalidadRegistrada[Muestra],0))</f>
        <v/>
      </c>
      <c r="L97" s="14">
        <f>INDEX(tblMSCalculada[Biomasa informada en el libro histórico (kg MS/ha)],MATCH(tblCalidadCalculada[[#This Row],[Muestra]],tblMSCalculada[Muestra],0))</f>
        <v/>
      </c>
      <c r="M97" s="14">
        <f>IF(tblCalidadCalculada[[#This Row],[Nitrógeno medido (%)]]="",tblCalidadCalculada[[#This Row],[Nitrógeno estimado (%)]],tblCalidadCalculada[[#This Row],[Nitrógeno medido (%)]])</f>
        <v/>
      </c>
      <c r="N97" s="14">
        <f>IF(tblCalidadCalculada[[#This Row],[Estado de la medición]]="estimated",INDEX(tblCalidadFaltante[Nitrógeno estimado (%)],MATCH(tblCalidadCalculada[[#This Row],[Muestra]],tblCalidadFaltante[Muestra],0)),"")</f>
        <v/>
      </c>
      <c r="O97" s="14">
        <f>IF(tblCalidadCalculada[[#This Row],[Estado de la medición]]="estimated",INDEX(tblCalidadFaltante[FDA estimada (%)],MATCH(tblCalidadCalculada[[#This Row],[Muestra]],tblCalidadFaltante[Muestra],0)),"")</f>
        <v/>
      </c>
      <c r="P97" s="14">
        <f>IF(tblCalidadCalculada[[#This Row],[Estado de la medición]]="estimated",INDEX(tblCalidadFaltante[FDN estimada (%)],MATCH(tblCalidadCalculada[[#This Row],[Muestra]],tblCalidadFaltante[Muestra],0)),"")</f>
        <v/>
      </c>
      <c r="Q97" s="14">
        <f>tblCalidadCalculada[[#This Row],[Biomasa informada enlazada (kg MS/ha)]]*tblCalidadCalculada[[#This Row],[Nitrógeno efectivo (%)]]/100</f>
        <v/>
      </c>
      <c r="R97" s="14">
        <f>4.8*(tblCalidadCalculada[[#This Row],[Biomasa informada enlazada (kg MS/ha)]]/1000)^(-0.32)</f>
        <v/>
      </c>
      <c r="S97" s="14">
        <f>tblCalidadCalculada[[#This Row],[Nitrógeno efectivo (%)]]/tblCalidadCalculada[[#This Row],[Concentración crítica de nitrógeno (%)]]</f>
        <v/>
      </c>
      <c r="T97" s="6" t="inlineStr">
        <is>
          <t>from_measured_quality</t>
        </is>
      </c>
    </row>
    <row r="98">
      <c r="A98" s="12" t="n">
        <v>94</v>
      </c>
      <c r="B98" s="13">
        <f>INDEX(tblCalidadRegistrada[Fecha],MATCH(tblCalidadCalculada[[#This Row],[Muestra]],tblCalidadRegistrada[Muestra],0))</f>
        <v/>
      </c>
      <c r="C98" s="6">
        <f>INDEX(tblCalidadRegistrada[Sector hídrico],MATCH(tblCalidadCalculada[[#This Row],[Muestra]],tblCalidadRegistrada[Muestra],0))</f>
        <v/>
      </c>
      <c r="D98" s="6">
        <f>INDEX(tblCalidadRegistrada[Tratamiento],MATCH(tblCalidadCalculada[[#This Row],[Muestra]],tblCalidadRegistrada[Muestra],0))</f>
        <v/>
      </c>
      <c r="E98" s="6">
        <f>INDEX(tblCalidadRegistrada[Bloque],MATCH(tblCalidadCalculada[[#This Row],[Muestra]],tblCalidadRegistrada[Muestra],0))</f>
        <v/>
      </c>
      <c r="F98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98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98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98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98" s="6">
        <f>INDEX(tblCalidadRegistrada[Estado de la medición],MATCH(tblCalidadCalculada[[#This Row],[Muestra]],tblCalidadRegistrada[Muestra],0))</f>
        <v/>
      </c>
      <c r="K98" s="6">
        <f>INDEX(tblCalidadRegistrada[Origen del dato],MATCH(tblCalidadCalculada[[#This Row],[Muestra]],tblCalidadRegistrada[Muestra],0))</f>
        <v/>
      </c>
      <c r="L98" s="14">
        <f>INDEX(tblMSCalculada[Biomasa informada en el libro histórico (kg MS/ha)],MATCH(tblCalidadCalculada[[#This Row],[Muestra]],tblMSCalculada[Muestra],0))</f>
        <v/>
      </c>
      <c r="M98" s="14">
        <f>IF(tblCalidadCalculada[[#This Row],[Nitrógeno medido (%)]]="",tblCalidadCalculada[[#This Row],[Nitrógeno estimado (%)]],tblCalidadCalculada[[#This Row],[Nitrógeno medido (%)]])</f>
        <v/>
      </c>
      <c r="N98" s="14">
        <f>IF(tblCalidadCalculada[[#This Row],[Estado de la medición]]="estimated",INDEX(tblCalidadFaltante[Nitrógeno estimado (%)],MATCH(tblCalidadCalculada[[#This Row],[Muestra]],tblCalidadFaltante[Muestra],0)),"")</f>
        <v/>
      </c>
      <c r="O98" s="14">
        <f>IF(tblCalidadCalculada[[#This Row],[Estado de la medición]]="estimated",INDEX(tblCalidadFaltante[FDA estimada (%)],MATCH(tblCalidadCalculada[[#This Row],[Muestra]],tblCalidadFaltante[Muestra],0)),"")</f>
        <v/>
      </c>
      <c r="P98" s="14">
        <f>IF(tblCalidadCalculada[[#This Row],[Estado de la medición]]="estimated",INDEX(tblCalidadFaltante[FDN estimada (%)],MATCH(tblCalidadCalculada[[#This Row],[Muestra]],tblCalidadFaltante[Muestra],0)),"")</f>
        <v/>
      </c>
      <c r="Q98" s="14">
        <f>tblCalidadCalculada[[#This Row],[Biomasa informada enlazada (kg MS/ha)]]*tblCalidadCalculada[[#This Row],[Nitrógeno efectivo (%)]]/100</f>
        <v/>
      </c>
      <c r="R98" s="14">
        <f>4.8*(tblCalidadCalculada[[#This Row],[Biomasa informada enlazada (kg MS/ha)]]/1000)^(-0.32)</f>
        <v/>
      </c>
      <c r="S98" s="14">
        <f>tblCalidadCalculada[[#This Row],[Nitrógeno efectivo (%)]]/tblCalidadCalculada[[#This Row],[Concentración crítica de nitrógeno (%)]]</f>
        <v/>
      </c>
      <c r="T98" s="6" t="inlineStr">
        <is>
          <t>from_measured_quality</t>
        </is>
      </c>
    </row>
    <row r="99">
      <c r="A99" s="12" t="n">
        <v>95</v>
      </c>
      <c r="B99" s="13">
        <f>INDEX(tblCalidadRegistrada[Fecha],MATCH(tblCalidadCalculada[[#This Row],[Muestra]],tblCalidadRegistrada[Muestra],0))</f>
        <v/>
      </c>
      <c r="C99" s="6">
        <f>INDEX(tblCalidadRegistrada[Sector hídrico],MATCH(tblCalidadCalculada[[#This Row],[Muestra]],tblCalidadRegistrada[Muestra],0))</f>
        <v/>
      </c>
      <c r="D99" s="6">
        <f>INDEX(tblCalidadRegistrada[Tratamiento],MATCH(tblCalidadCalculada[[#This Row],[Muestra]],tblCalidadRegistrada[Muestra],0))</f>
        <v/>
      </c>
      <c r="E99" s="6">
        <f>INDEX(tblCalidadRegistrada[Bloque],MATCH(tblCalidadCalculada[[#This Row],[Muestra]],tblCalidadRegistrada[Muestra],0))</f>
        <v/>
      </c>
      <c r="F99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99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99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99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99" s="6">
        <f>INDEX(tblCalidadRegistrada[Estado de la medición],MATCH(tblCalidadCalculada[[#This Row],[Muestra]],tblCalidadRegistrada[Muestra],0))</f>
        <v/>
      </c>
      <c r="K99" s="6">
        <f>INDEX(tblCalidadRegistrada[Origen del dato],MATCH(tblCalidadCalculada[[#This Row],[Muestra]],tblCalidadRegistrada[Muestra],0))</f>
        <v/>
      </c>
      <c r="L99" s="14">
        <f>INDEX(tblMSCalculada[Biomasa informada en el libro histórico (kg MS/ha)],MATCH(tblCalidadCalculada[[#This Row],[Muestra]],tblMSCalculada[Muestra],0))</f>
        <v/>
      </c>
      <c r="M99" s="14">
        <f>IF(tblCalidadCalculada[[#This Row],[Nitrógeno medido (%)]]="",tblCalidadCalculada[[#This Row],[Nitrógeno estimado (%)]],tblCalidadCalculada[[#This Row],[Nitrógeno medido (%)]])</f>
        <v/>
      </c>
      <c r="N99" s="14">
        <f>IF(tblCalidadCalculada[[#This Row],[Estado de la medición]]="estimated",INDEX(tblCalidadFaltante[Nitrógeno estimado (%)],MATCH(tblCalidadCalculada[[#This Row],[Muestra]],tblCalidadFaltante[Muestra],0)),"")</f>
        <v/>
      </c>
      <c r="O99" s="14">
        <f>IF(tblCalidadCalculada[[#This Row],[Estado de la medición]]="estimated",INDEX(tblCalidadFaltante[FDA estimada (%)],MATCH(tblCalidadCalculada[[#This Row],[Muestra]],tblCalidadFaltante[Muestra],0)),"")</f>
        <v/>
      </c>
      <c r="P99" s="14">
        <f>IF(tblCalidadCalculada[[#This Row],[Estado de la medición]]="estimated",INDEX(tblCalidadFaltante[FDN estimada (%)],MATCH(tblCalidadCalculada[[#This Row],[Muestra]],tblCalidadFaltante[Muestra],0)),"")</f>
        <v/>
      </c>
      <c r="Q99" s="14">
        <f>tblCalidadCalculada[[#This Row],[Biomasa informada enlazada (kg MS/ha)]]*tblCalidadCalculada[[#This Row],[Nitrógeno efectivo (%)]]/100</f>
        <v/>
      </c>
      <c r="R99" s="14">
        <f>4.8*(tblCalidadCalculada[[#This Row],[Biomasa informada enlazada (kg MS/ha)]]/1000)^(-0.32)</f>
        <v/>
      </c>
      <c r="S99" s="14">
        <f>tblCalidadCalculada[[#This Row],[Nitrógeno efectivo (%)]]/tblCalidadCalculada[[#This Row],[Concentración crítica de nitrógeno (%)]]</f>
        <v/>
      </c>
      <c r="T99" s="6" t="inlineStr">
        <is>
          <t>from_measured_quality</t>
        </is>
      </c>
    </row>
    <row r="100">
      <c r="A100" s="12" t="n">
        <v>96</v>
      </c>
      <c r="B100" s="13">
        <f>INDEX(tblCalidadRegistrada[Fecha],MATCH(tblCalidadCalculada[[#This Row],[Muestra]],tblCalidadRegistrada[Muestra],0))</f>
        <v/>
      </c>
      <c r="C100" s="6">
        <f>INDEX(tblCalidadRegistrada[Sector hídrico],MATCH(tblCalidadCalculada[[#This Row],[Muestra]],tblCalidadRegistrada[Muestra],0))</f>
        <v/>
      </c>
      <c r="D100" s="6">
        <f>INDEX(tblCalidadRegistrada[Tratamiento],MATCH(tblCalidadCalculada[[#This Row],[Muestra]],tblCalidadRegistrada[Muestra],0))</f>
        <v/>
      </c>
      <c r="E100" s="6">
        <f>INDEX(tblCalidadRegistrada[Bloque],MATCH(tblCalidadCalculada[[#This Row],[Muestra]],tblCalidadRegistrada[Muestra],0))</f>
        <v/>
      </c>
      <c r="F100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00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00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00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00" s="6">
        <f>INDEX(tblCalidadRegistrada[Estado de la medición],MATCH(tblCalidadCalculada[[#This Row],[Muestra]],tblCalidadRegistrada[Muestra],0))</f>
        <v/>
      </c>
      <c r="K100" s="6">
        <f>INDEX(tblCalidadRegistrada[Origen del dato],MATCH(tblCalidadCalculada[[#This Row],[Muestra]],tblCalidadRegistrada[Muestra],0))</f>
        <v/>
      </c>
      <c r="L100" s="14">
        <f>INDEX(tblMSCalculada[Biomasa informada en el libro histórico (kg MS/ha)],MATCH(tblCalidadCalculada[[#This Row],[Muestra]],tblMSCalculada[Muestra],0))</f>
        <v/>
      </c>
      <c r="M100" s="14">
        <f>IF(tblCalidadCalculada[[#This Row],[Nitrógeno medido (%)]]="",tblCalidadCalculada[[#This Row],[Nitrógeno estimado (%)]],tblCalidadCalculada[[#This Row],[Nitrógeno medido (%)]])</f>
        <v/>
      </c>
      <c r="N100" s="14">
        <f>IF(tblCalidadCalculada[[#This Row],[Estado de la medición]]="estimated",INDEX(tblCalidadFaltante[Nitrógeno estimado (%)],MATCH(tblCalidadCalculada[[#This Row],[Muestra]],tblCalidadFaltante[Muestra],0)),"")</f>
        <v/>
      </c>
      <c r="O100" s="14">
        <f>IF(tblCalidadCalculada[[#This Row],[Estado de la medición]]="estimated",INDEX(tblCalidadFaltante[FDA estimada (%)],MATCH(tblCalidadCalculada[[#This Row],[Muestra]],tblCalidadFaltante[Muestra],0)),"")</f>
        <v/>
      </c>
      <c r="P100" s="14">
        <f>IF(tblCalidadCalculada[[#This Row],[Estado de la medición]]="estimated",INDEX(tblCalidadFaltante[FDN estimada (%)],MATCH(tblCalidadCalculada[[#This Row],[Muestra]],tblCalidadFaltante[Muestra],0)),"")</f>
        <v/>
      </c>
      <c r="Q100" s="14">
        <f>tblCalidadCalculada[[#This Row],[Biomasa informada enlazada (kg MS/ha)]]*tblCalidadCalculada[[#This Row],[Nitrógeno efectivo (%)]]/100</f>
        <v/>
      </c>
      <c r="R100" s="14">
        <f>4.8*(tblCalidadCalculada[[#This Row],[Biomasa informada enlazada (kg MS/ha)]]/1000)^(-0.32)</f>
        <v/>
      </c>
      <c r="S100" s="14">
        <f>tblCalidadCalculada[[#This Row],[Nitrógeno efectivo (%)]]/tblCalidadCalculada[[#This Row],[Concentración crítica de nitrógeno (%)]]</f>
        <v/>
      </c>
      <c r="T100" s="6" t="inlineStr">
        <is>
          <t>from_measured_quality</t>
        </is>
      </c>
    </row>
    <row r="101">
      <c r="A101" s="12" t="n">
        <v>97</v>
      </c>
      <c r="B101" s="13">
        <f>INDEX(tblCalidadRegistrada[Fecha],MATCH(tblCalidadCalculada[[#This Row],[Muestra]],tblCalidadRegistrada[Muestra],0))</f>
        <v/>
      </c>
      <c r="C101" s="6">
        <f>INDEX(tblCalidadRegistrada[Sector hídrico],MATCH(tblCalidadCalculada[[#This Row],[Muestra]],tblCalidadRegistrada[Muestra],0))</f>
        <v/>
      </c>
      <c r="D101" s="6">
        <f>INDEX(tblCalidadRegistrada[Tratamiento],MATCH(tblCalidadCalculada[[#This Row],[Muestra]],tblCalidadRegistrada[Muestra],0))</f>
        <v/>
      </c>
      <c r="E101" s="6">
        <f>INDEX(tblCalidadRegistrada[Bloque],MATCH(tblCalidadCalculada[[#This Row],[Muestra]],tblCalidadRegistrada[Muestra],0))</f>
        <v/>
      </c>
      <c r="F101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01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01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01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01" s="6">
        <f>INDEX(tblCalidadRegistrada[Estado de la medición],MATCH(tblCalidadCalculada[[#This Row],[Muestra]],tblCalidadRegistrada[Muestra],0))</f>
        <v/>
      </c>
      <c r="K101" s="6">
        <f>INDEX(tblCalidadRegistrada[Origen del dato],MATCH(tblCalidadCalculada[[#This Row],[Muestra]],tblCalidadRegistrada[Muestra],0))</f>
        <v/>
      </c>
      <c r="L101" s="14">
        <f>INDEX(tblMSCalculada[Biomasa informada en el libro histórico (kg MS/ha)],MATCH(tblCalidadCalculada[[#This Row],[Muestra]],tblMSCalculada[Muestra],0))</f>
        <v/>
      </c>
      <c r="M101" s="14">
        <f>IF(tblCalidadCalculada[[#This Row],[Nitrógeno medido (%)]]="",tblCalidadCalculada[[#This Row],[Nitrógeno estimado (%)]],tblCalidadCalculada[[#This Row],[Nitrógeno medido (%)]])</f>
        <v/>
      </c>
      <c r="N101" s="14">
        <f>IF(tblCalidadCalculada[[#This Row],[Estado de la medición]]="estimated",INDEX(tblCalidadFaltante[Nitrógeno estimado (%)],MATCH(tblCalidadCalculada[[#This Row],[Muestra]],tblCalidadFaltante[Muestra],0)),"")</f>
        <v/>
      </c>
      <c r="O101" s="14">
        <f>IF(tblCalidadCalculada[[#This Row],[Estado de la medición]]="estimated",INDEX(tblCalidadFaltante[FDA estimada (%)],MATCH(tblCalidadCalculada[[#This Row],[Muestra]],tblCalidadFaltante[Muestra],0)),"")</f>
        <v/>
      </c>
      <c r="P101" s="14">
        <f>IF(tblCalidadCalculada[[#This Row],[Estado de la medición]]="estimated",INDEX(tblCalidadFaltante[FDN estimada (%)],MATCH(tblCalidadCalculada[[#This Row],[Muestra]],tblCalidadFaltante[Muestra],0)),"")</f>
        <v/>
      </c>
      <c r="Q101" s="14">
        <f>tblCalidadCalculada[[#This Row],[Biomasa informada enlazada (kg MS/ha)]]*tblCalidadCalculada[[#This Row],[Nitrógeno efectivo (%)]]/100</f>
        <v/>
      </c>
      <c r="R101" s="14">
        <f>4.8*(tblCalidadCalculada[[#This Row],[Biomasa informada enlazada (kg MS/ha)]]/1000)^(-0.32)</f>
        <v/>
      </c>
      <c r="S101" s="14">
        <f>tblCalidadCalculada[[#This Row],[Nitrógeno efectivo (%)]]/tblCalidadCalculada[[#This Row],[Concentración crítica de nitrógeno (%)]]</f>
        <v/>
      </c>
      <c r="T101" s="6" t="inlineStr">
        <is>
          <t>from_measured_quality</t>
        </is>
      </c>
    </row>
    <row r="102">
      <c r="A102" s="12" t="n">
        <v>98</v>
      </c>
      <c r="B102" s="13">
        <f>INDEX(tblCalidadRegistrada[Fecha],MATCH(tblCalidadCalculada[[#This Row],[Muestra]],tblCalidadRegistrada[Muestra],0))</f>
        <v/>
      </c>
      <c r="C102" s="6">
        <f>INDEX(tblCalidadRegistrada[Sector hídrico],MATCH(tblCalidadCalculada[[#This Row],[Muestra]],tblCalidadRegistrada[Muestra],0))</f>
        <v/>
      </c>
      <c r="D102" s="6">
        <f>INDEX(tblCalidadRegistrada[Tratamiento],MATCH(tblCalidadCalculada[[#This Row],[Muestra]],tblCalidadRegistrada[Muestra],0))</f>
        <v/>
      </c>
      <c r="E102" s="6">
        <f>INDEX(tblCalidadRegistrada[Bloque],MATCH(tblCalidadCalculada[[#This Row],[Muestra]],tblCalidadRegistrada[Muestra],0))</f>
        <v/>
      </c>
      <c r="F102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02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02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02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02" s="6">
        <f>INDEX(tblCalidadRegistrada[Estado de la medición],MATCH(tblCalidadCalculada[[#This Row],[Muestra]],tblCalidadRegistrada[Muestra],0))</f>
        <v/>
      </c>
      <c r="K102" s="6">
        <f>INDEX(tblCalidadRegistrada[Origen del dato],MATCH(tblCalidadCalculada[[#This Row],[Muestra]],tblCalidadRegistrada[Muestra],0))</f>
        <v/>
      </c>
      <c r="L102" s="14">
        <f>INDEX(tblMSCalculada[Biomasa informada en el libro histórico (kg MS/ha)],MATCH(tblCalidadCalculada[[#This Row],[Muestra]],tblMSCalculada[Muestra],0))</f>
        <v/>
      </c>
      <c r="M102" s="14">
        <f>IF(tblCalidadCalculada[[#This Row],[Nitrógeno medido (%)]]="",tblCalidadCalculada[[#This Row],[Nitrógeno estimado (%)]],tblCalidadCalculada[[#This Row],[Nitrógeno medido (%)]])</f>
        <v/>
      </c>
      <c r="N102" s="14">
        <f>IF(tblCalidadCalculada[[#This Row],[Estado de la medición]]="estimated",INDEX(tblCalidadFaltante[Nitrógeno estimado (%)],MATCH(tblCalidadCalculada[[#This Row],[Muestra]],tblCalidadFaltante[Muestra],0)),"")</f>
        <v/>
      </c>
      <c r="O102" s="14">
        <f>IF(tblCalidadCalculada[[#This Row],[Estado de la medición]]="estimated",INDEX(tblCalidadFaltante[FDA estimada (%)],MATCH(tblCalidadCalculada[[#This Row],[Muestra]],tblCalidadFaltante[Muestra],0)),"")</f>
        <v/>
      </c>
      <c r="P102" s="14">
        <f>IF(tblCalidadCalculada[[#This Row],[Estado de la medición]]="estimated",INDEX(tblCalidadFaltante[FDN estimada (%)],MATCH(tblCalidadCalculada[[#This Row],[Muestra]],tblCalidadFaltante[Muestra],0)),"")</f>
        <v/>
      </c>
      <c r="Q102" s="14">
        <f>tblCalidadCalculada[[#This Row],[Biomasa informada enlazada (kg MS/ha)]]*tblCalidadCalculada[[#This Row],[Nitrógeno efectivo (%)]]/100</f>
        <v/>
      </c>
      <c r="R102" s="14">
        <f>4.8*(tblCalidadCalculada[[#This Row],[Biomasa informada enlazada (kg MS/ha)]]/1000)^(-0.32)</f>
        <v/>
      </c>
      <c r="S102" s="14">
        <f>tblCalidadCalculada[[#This Row],[Nitrógeno efectivo (%)]]/tblCalidadCalculada[[#This Row],[Concentración crítica de nitrógeno (%)]]</f>
        <v/>
      </c>
      <c r="T102" s="6" t="inlineStr">
        <is>
          <t>from_measured_quality</t>
        </is>
      </c>
    </row>
    <row r="103">
      <c r="A103" s="12" t="n">
        <v>99</v>
      </c>
      <c r="B103" s="13">
        <f>INDEX(tblCalidadRegistrada[Fecha],MATCH(tblCalidadCalculada[[#This Row],[Muestra]],tblCalidadRegistrada[Muestra],0))</f>
        <v/>
      </c>
      <c r="C103" s="6">
        <f>INDEX(tblCalidadRegistrada[Sector hídrico],MATCH(tblCalidadCalculada[[#This Row],[Muestra]],tblCalidadRegistrada[Muestra],0))</f>
        <v/>
      </c>
      <c r="D103" s="6">
        <f>INDEX(tblCalidadRegistrada[Tratamiento],MATCH(tblCalidadCalculada[[#This Row],[Muestra]],tblCalidadRegistrada[Muestra],0))</f>
        <v/>
      </c>
      <c r="E103" s="6">
        <f>INDEX(tblCalidadRegistrada[Bloque],MATCH(tblCalidadCalculada[[#This Row],[Muestra]],tblCalidadRegistrada[Muestra],0))</f>
        <v/>
      </c>
      <c r="F103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03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03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03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03" s="6">
        <f>INDEX(tblCalidadRegistrada[Estado de la medición],MATCH(tblCalidadCalculada[[#This Row],[Muestra]],tblCalidadRegistrada[Muestra],0))</f>
        <v/>
      </c>
      <c r="K103" s="6">
        <f>INDEX(tblCalidadRegistrada[Origen del dato],MATCH(tblCalidadCalculada[[#This Row],[Muestra]],tblCalidadRegistrada[Muestra],0))</f>
        <v/>
      </c>
      <c r="L103" s="14">
        <f>INDEX(tblMSCalculada[Biomasa informada en el libro histórico (kg MS/ha)],MATCH(tblCalidadCalculada[[#This Row],[Muestra]],tblMSCalculada[Muestra],0))</f>
        <v/>
      </c>
      <c r="M103" s="14">
        <f>IF(tblCalidadCalculada[[#This Row],[Nitrógeno medido (%)]]="",tblCalidadCalculada[[#This Row],[Nitrógeno estimado (%)]],tblCalidadCalculada[[#This Row],[Nitrógeno medido (%)]])</f>
        <v/>
      </c>
      <c r="N103" s="14">
        <f>IF(tblCalidadCalculada[[#This Row],[Estado de la medición]]="estimated",INDEX(tblCalidadFaltante[Nitrógeno estimado (%)],MATCH(tblCalidadCalculada[[#This Row],[Muestra]],tblCalidadFaltante[Muestra],0)),"")</f>
        <v/>
      </c>
      <c r="O103" s="14">
        <f>IF(tblCalidadCalculada[[#This Row],[Estado de la medición]]="estimated",INDEX(tblCalidadFaltante[FDA estimada (%)],MATCH(tblCalidadCalculada[[#This Row],[Muestra]],tblCalidadFaltante[Muestra],0)),"")</f>
        <v/>
      </c>
      <c r="P103" s="14">
        <f>IF(tblCalidadCalculada[[#This Row],[Estado de la medición]]="estimated",INDEX(tblCalidadFaltante[FDN estimada (%)],MATCH(tblCalidadCalculada[[#This Row],[Muestra]],tblCalidadFaltante[Muestra],0)),"")</f>
        <v/>
      </c>
      <c r="Q103" s="14">
        <f>tblCalidadCalculada[[#This Row],[Biomasa informada enlazada (kg MS/ha)]]*tblCalidadCalculada[[#This Row],[Nitrógeno efectivo (%)]]/100</f>
        <v/>
      </c>
      <c r="R103" s="14">
        <f>4.8*(tblCalidadCalculada[[#This Row],[Biomasa informada enlazada (kg MS/ha)]]/1000)^(-0.32)</f>
        <v/>
      </c>
      <c r="S103" s="14">
        <f>tblCalidadCalculada[[#This Row],[Nitrógeno efectivo (%)]]/tblCalidadCalculada[[#This Row],[Concentración crítica de nitrógeno (%)]]</f>
        <v/>
      </c>
      <c r="T103" s="6" t="inlineStr">
        <is>
          <t>from_measured_quality</t>
        </is>
      </c>
    </row>
    <row r="104">
      <c r="A104" s="12" t="n">
        <v>100</v>
      </c>
      <c r="B104" s="13">
        <f>INDEX(tblCalidadRegistrada[Fecha],MATCH(tblCalidadCalculada[[#This Row],[Muestra]],tblCalidadRegistrada[Muestra],0))</f>
        <v/>
      </c>
      <c r="C104" s="6">
        <f>INDEX(tblCalidadRegistrada[Sector hídrico],MATCH(tblCalidadCalculada[[#This Row],[Muestra]],tblCalidadRegistrada[Muestra],0))</f>
        <v/>
      </c>
      <c r="D104" s="6">
        <f>INDEX(tblCalidadRegistrada[Tratamiento],MATCH(tblCalidadCalculada[[#This Row],[Muestra]],tblCalidadRegistrada[Muestra],0))</f>
        <v/>
      </c>
      <c r="E104" s="6">
        <f>INDEX(tblCalidadRegistrada[Bloque],MATCH(tblCalidadCalculada[[#This Row],[Muestra]],tblCalidadRegistrada[Muestra],0))</f>
        <v/>
      </c>
      <c r="F104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04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04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04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04" s="6">
        <f>INDEX(tblCalidadRegistrada[Estado de la medición],MATCH(tblCalidadCalculada[[#This Row],[Muestra]],tblCalidadRegistrada[Muestra],0))</f>
        <v/>
      </c>
      <c r="K104" s="6">
        <f>INDEX(tblCalidadRegistrada[Origen del dato],MATCH(tblCalidadCalculada[[#This Row],[Muestra]],tblCalidadRegistrada[Muestra],0))</f>
        <v/>
      </c>
      <c r="L104" s="14">
        <f>INDEX(tblMSCalculada[Biomasa informada en el libro histórico (kg MS/ha)],MATCH(tblCalidadCalculada[[#This Row],[Muestra]],tblMSCalculada[Muestra],0))</f>
        <v/>
      </c>
      <c r="M104" s="14">
        <f>IF(tblCalidadCalculada[[#This Row],[Nitrógeno medido (%)]]="",tblCalidadCalculada[[#This Row],[Nitrógeno estimado (%)]],tblCalidadCalculada[[#This Row],[Nitrógeno medido (%)]])</f>
        <v/>
      </c>
      <c r="N104" s="14">
        <f>IF(tblCalidadCalculada[[#This Row],[Estado de la medición]]="estimated",INDEX(tblCalidadFaltante[Nitrógeno estimado (%)],MATCH(tblCalidadCalculada[[#This Row],[Muestra]],tblCalidadFaltante[Muestra],0)),"")</f>
        <v/>
      </c>
      <c r="O104" s="14">
        <f>IF(tblCalidadCalculada[[#This Row],[Estado de la medición]]="estimated",INDEX(tblCalidadFaltante[FDA estimada (%)],MATCH(tblCalidadCalculada[[#This Row],[Muestra]],tblCalidadFaltante[Muestra],0)),"")</f>
        <v/>
      </c>
      <c r="P104" s="14">
        <f>IF(tblCalidadCalculada[[#This Row],[Estado de la medición]]="estimated",INDEX(tblCalidadFaltante[FDN estimada (%)],MATCH(tblCalidadCalculada[[#This Row],[Muestra]],tblCalidadFaltante[Muestra],0)),"")</f>
        <v/>
      </c>
      <c r="Q104" s="14">
        <f>tblCalidadCalculada[[#This Row],[Biomasa informada enlazada (kg MS/ha)]]*tblCalidadCalculada[[#This Row],[Nitrógeno efectivo (%)]]/100</f>
        <v/>
      </c>
      <c r="R104" s="14">
        <f>4.8*(tblCalidadCalculada[[#This Row],[Biomasa informada enlazada (kg MS/ha)]]/1000)^(-0.32)</f>
        <v/>
      </c>
      <c r="S104" s="14">
        <f>tblCalidadCalculada[[#This Row],[Nitrógeno efectivo (%)]]/tblCalidadCalculada[[#This Row],[Concentración crítica de nitrógeno (%)]]</f>
        <v/>
      </c>
      <c r="T104" s="6" t="inlineStr">
        <is>
          <t>from_measured_quality</t>
        </is>
      </c>
    </row>
    <row r="105">
      <c r="A105" s="12" t="n">
        <v>101</v>
      </c>
      <c r="B105" s="13">
        <f>INDEX(tblCalidadRegistrada[Fecha],MATCH(tblCalidadCalculada[[#This Row],[Muestra]],tblCalidadRegistrada[Muestra],0))</f>
        <v/>
      </c>
      <c r="C105" s="6">
        <f>INDEX(tblCalidadRegistrada[Sector hídrico],MATCH(tblCalidadCalculada[[#This Row],[Muestra]],tblCalidadRegistrada[Muestra],0))</f>
        <v/>
      </c>
      <c r="D105" s="6">
        <f>INDEX(tblCalidadRegistrada[Tratamiento],MATCH(tblCalidadCalculada[[#This Row],[Muestra]],tblCalidadRegistrada[Muestra],0))</f>
        <v/>
      </c>
      <c r="E105" s="6">
        <f>INDEX(tblCalidadRegistrada[Bloque],MATCH(tblCalidadCalculada[[#This Row],[Muestra]],tblCalidadRegistrada[Muestra],0))</f>
        <v/>
      </c>
      <c r="F105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05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05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05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05" s="6">
        <f>INDEX(tblCalidadRegistrada[Estado de la medición],MATCH(tblCalidadCalculada[[#This Row],[Muestra]],tblCalidadRegistrada[Muestra],0))</f>
        <v/>
      </c>
      <c r="K105" s="6">
        <f>INDEX(tblCalidadRegistrada[Origen del dato],MATCH(tblCalidadCalculada[[#This Row],[Muestra]],tblCalidadRegistrada[Muestra],0))</f>
        <v/>
      </c>
      <c r="L105" s="14">
        <f>INDEX(tblMSCalculada[Biomasa informada en el libro histórico (kg MS/ha)],MATCH(tblCalidadCalculada[[#This Row],[Muestra]],tblMSCalculada[Muestra],0))</f>
        <v/>
      </c>
      <c r="M105" s="14">
        <f>IF(tblCalidadCalculada[[#This Row],[Nitrógeno medido (%)]]="",tblCalidadCalculada[[#This Row],[Nitrógeno estimado (%)]],tblCalidadCalculada[[#This Row],[Nitrógeno medido (%)]])</f>
        <v/>
      </c>
      <c r="N105" s="14">
        <f>IF(tblCalidadCalculada[[#This Row],[Estado de la medición]]="estimated",INDEX(tblCalidadFaltante[Nitrógeno estimado (%)],MATCH(tblCalidadCalculada[[#This Row],[Muestra]],tblCalidadFaltante[Muestra],0)),"")</f>
        <v/>
      </c>
      <c r="O105" s="14">
        <f>IF(tblCalidadCalculada[[#This Row],[Estado de la medición]]="estimated",INDEX(tblCalidadFaltante[FDA estimada (%)],MATCH(tblCalidadCalculada[[#This Row],[Muestra]],tblCalidadFaltante[Muestra],0)),"")</f>
        <v/>
      </c>
      <c r="P105" s="14">
        <f>IF(tblCalidadCalculada[[#This Row],[Estado de la medición]]="estimated",INDEX(tblCalidadFaltante[FDN estimada (%)],MATCH(tblCalidadCalculada[[#This Row],[Muestra]],tblCalidadFaltante[Muestra],0)),"")</f>
        <v/>
      </c>
      <c r="Q105" s="14">
        <f>tblCalidadCalculada[[#This Row],[Biomasa informada enlazada (kg MS/ha)]]*tblCalidadCalculada[[#This Row],[Nitrógeno efectivo (%)]]/100</f>
        <v/>
      </c>
      <c r="R105" s="14">
        <f>4.8*(tblCalidadCalculada[[#This Row],[Biomasa informada enlazada (kg MS/ha)]]/1000)^(-0.32)</f>
        <v/>
      </c>
      <c r="S105" s="14">
        <f>tblCalidadCalculada[[#This Row],[Nitrógeno efectivo (%)]]/tblCalidadCalculada[[#This Row],[Concentración crítica de nitrógeno (%)]]</f>
        <v/>
      </c>
      <c r="T105" s="6" t="inlineStr">
        <is>
          <t>from_measured_quality</t>
        </is>
      </c>
    </row>
    <row r="106">
      <c r="A106" s="12" t="n">
        <v>102</v>
      </c>
      <c r="B106" s="13">
        <f>INDEX(tblCalidadRegistrada[Fecha],MATCH(tblCalidadCalculada[[#This Row],[Muestra]],tblCalidadRegistrada[Muestra],0))</f>
        <v/>
      </c>
      <c r="C106" s="6">
        <f>INDEX(tblCalidadRegistrada[Sector hídrico],MATCH(tblCalidadCalculada[[#This Row],[Muestra]],tblCalidadRegistrada[Muestra],0))</f>
        <v/>
      </c>
      <c r="D106" s="6">
        <f>INDEX(tblCalidadRegistrada[Tratamiento],MATCH(tblCalidadCalculada[[#This Row],[Muestra]],tblCalidadRegistrada[Muestra],0))</f>
        <v/>
      </c>
      <c r="E106" s="6">
        <f>INDEX(tblCalidadRegistrada[Bloque],MATCH(tblCalidadCalculada[[#This Row],[Muestra]],tblCalidadRegistrada[Muestra],0))</f>
        <v/>
      </c>
      <c r="F106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06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06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06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06" s="6">
        <f>INDEX(tblCalidadRegistrada[Estado de la medición],MATCH(tblCalidadCalculada[[#This Row],[Muestra]],tblCalidadRegistrada[Muestra],0))</f>
        <v/>
      </c>
      <c r="K106" s="6">
        <f>INDEX(tblCalidadRegistrada[Origen del dato],MATCH(tblCalidadCalculada[[#This Row],[Muestra]],tblCalidadRegistrada[Muestra],0))</f>
        <v/>
      </c>
      <c r="L106" s="14">
        <f>INDEX(tblMSCalculada[Biomasa informada en el libro histórico (kg MS/ha)],MATCH(tblCalidadCalculada[[#This Row],[Muestra]],tblMSCalculada[Muestra],0))</f>
        <v/>
      </c>
      <c r="M106" s="14">
        <f>IF(tblCalidadCalculada[[#This Row],[Nitrógeno medido (%)]]="",tblCalidadCalculada[[#This Row],[Nitrógeno estimado (%)]],tblCalidadCalculada[[#This Row],[Nitrógeno medido (%)]])</f>
        <v/>
      </c>
      <c r="N106" s="14">
        <f>IF(tblCalidadCalculada[[#This Row],[Estado de la medición]]="estimated",INDEX(tblCalidadFaltante[Nitrógeno estimado (%)],MATCH(tblCalidadCalculada[[#This Row],[Muestra]],tblCalidadFaltante[Muestra],0)),"")</f>
        <v/>
      </c>
      <c r="O106" s="14">
        <f>IF(tblCalidadCalculada[[#This Row],[Estado de la medición]]="estimated",INDEX(tblCalidadFaltante[FDA estimada (%)],MATCH(tblCalidadCalculada[[#This Row],[Muestra]],tblCalidadFaltante[Muestra],0)),"")</f>
        <v/>
      </c>
      <c r="P106" s="14">
        <f>IF(tblCalidadCalculada[[#This Row],[Estado de la medición]]="estimated",INDEX(tblCalidadFaltante[FDN estimada (%)],MATCH(tblCalidadCalculada[[#This Row],[Muestra]],tblCalidadFaltante[Muestra],0)),"")</f>
        <v/>
      </c>
      <c r="Q106" s="14">
        <f>tblCalidadCalculada[[#This Row],[Biomasa informada enlazada (kg MS/ha)]]*tblCalidadCalculada[[#This Row],[Nitrógeno efectivo (%)]]/100</f>
        <v/>
      </c>
      <c r="R106" s="14">
        <f>4.8*(tblCalidadCalculada[[#This Row],[Biomasa informada enlazada (kg MS/ha)]]/1000)^(-0.32)</f>
        <v/>
      </c>
      <c r="S106" s="14">
        <f>tblCalidadCalculada[[#This Row],[Nitrógeno efectivo (%)]]/tblCalidadCalculada[[#This Row],[Concentración crítica de nitrógeno (%)]]</f>
        <v/>
      </c>
      <c r="T106" s="6" t="inlineStr">
        <is>
          <t>from_measured_quality</t>
        </is>
      </c>
    </row>
    <row r="107">
      <c r="A107" s="12" t="n">
        <v>103</v>
      </c>
      <c r="B107" s="13">
        <f>INDEX(tblCalidadRegistrada[Fecha],MATCH(tblCalidadCalculada[[#This Row],[Muestra]],tblCalidadRegistrada[Muestra],0))</f>
        <v/>
      </c>
      <c r="C107" s="6">
        <f>INDEX(tblCalidadRegistrada[Sector hídrico],MATCH(tblCalidadCalculada[[#This Row],[Muestra]],tblCalidadRegistrada[Muestra],0))</f>
        <v/>
      </c>
      <c r="D107" s="6">
        <f>INDEX(tblCalidadRegistrada[Tratamiento],MATCH(tblCalidadCalculada[[#This Row],[Muestra]],tblCalidadRegistrada[Muestra],0))</f>
        <v/>
      </c>
      <c r="E107" s="6">
        <f>INDEX(tblCalidadRegistrada[Bloque],MATCH(tblCalidadCalculada[[#This Row],[Muestra]],tblCalidadRegistrada[Muestra],0))</f>
        <v/>
      </c>
      <c r="F107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07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07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07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07" s="6">
        <f>INDEX(tblCalidadRegistrada[Estado de la medición],MATCH(tblCalidadCalculada[[#This Row],[Muestra]],tblCalidadRegistrada[Muestra],0))</f>
        <v/>
      </c>
      <c r="K107" s="6">
        <f>INDEX(tblCalidadRegistrada[Origen del dato],MATCH(tblCalidadCalculada[[#This Row],[Muestra]],tblCalidadRegistrada[Muestra],0))</f>
        <v/>
      </c>
      <c r="L107" s="14">
        <f>INDEX(tblMSCalculada[Biomasa informada en el libro histórico (kg MS/ha)],MATCH(tblCalidadCalculada[[#This Row],[Muestra]],tblMSCalculada[Muestra],0))</f>
        <v/>
      </c>
      <c r="M107" s="14">
        <f>IF(tblCalidadCalculada[[#This Row],[Nitrógeno medido (%)]]="",tblCalidadCalculada[[#This Row],[Nitrógeno estimado (%)]],tblCalidadCalculada[[#This Row],[Nitrógeno medido (%)]])</f>
        <v/>
      </c>
      <c r="N107" s="14">
        <f>IF(tblCalidadCalculada[[#This Row],[Estado de la medición]]="estimated",INDEX(tblCalidadFaltante[Nitrógeno estimado (%)],MATCH(tblCalidadCalculada[[#This Row],[Muestra]],tblCalidadFaltante[Muestra],0)),"")</f>
        <v/>
      </c>
      <c r="O107" s="14">
        <f>IF(tblCalidadCalculada[[#This Row],[Estado de la medición]]="estimated",INDEX(tblCalidadFaltante[FDA estimada (%)],MATCH(tblCalidadCalculada[[#This Row],[Muestra]],tblCalidadFaltante[Muestra],0)),"")</f>
        <v/>
      </c>
      <c r="P107" s="14">
        <f>IF(tblCalidadCalculada[[#This Row],[Estado de la medición]]="estimated",INDEX(tblCalidadFaltante[FDN estimada (%)],MATCH(tblCalidadCalculada[[#This Row],[Muestra]],tblCalidadFaltante[Muestra],0)),"")</f>
        <v/>
      </c>
      <c r="Q107" s="14">
        <f>tblCalidadCalculada[[#This Row],[Biomasa informada enlazada (kg MS/ha)]]*tblCalidadCalculada[[#This Row],[Nitrógeno efectivo (%)]]/100</f>
        <v/>
      </c>
      <c r="R107" s="14">
        <f>4.8*(tblCalidadCalculada[[#This Row],[Biomasa informada enlazada (kg MS/ha)]]/1000)^(-0.32)</f>
        <v/>
      </c>
      <c r="S107" s="14">
        <f>tblCalidadCalculada[[#This Row],[Nitrógeno efectivo (%)]]/tblCalidadCalculada[[#This Row],[Concentración crítica de nitrógeno (%)]]</f>
        <v/>
      </c>
      <c r="T107" s="6" t="inlineStr">
        <is>
          <t>from_measured_quality</t>
        </is>
      </c>
    </row>
    <row r="108">
      <c r="A108" s="12" t="n">
        <v>104</v>
      </c>
      <c r="B108" s="13">
        <f>INDEX(tblCalidadRegistrada[Fecha],MATCH(tblCalidadCalculada[[#This Row],[Muestra]],tblCalidadRegistrada[Muestra],0))</f>
        <v/>
      </c>
      <c r="C108" s="6">
        <f>INDEX(tblCalidadRegistrada[Sector hídrico],MATCH(tblCalidadCalculada[[#This Row],[Muestra]],tblCalidadRegistrada[Muestra],0))</f>
        <v/>
      </c>
      <c r="D108" s="6">
        <f>INDEX(tblCalidadRegistrada[Tratamiento],MATCH(tblCalidadCalculada[[#This Row],[Muestra]],tblCalidadRegistrada[Muestra],0))</f>
        <v/>
      </c>
      <c r="E108" s="6">
        <f>INDEX(tblCalidadRegistrada[Bloque],MATCH(tblCalidadCalculada[[#This Row],[Muestra]],tblCalidadRegistrada[Muestra],0))</f>
        <v/>
      </c>
      <c r="F108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08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08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08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08" s="6">
        <f>INDEX(tblCalidadRegistrada[Estado de la medición],MATCH(tblCalidadCalculada[[#This Row],[Muestra]],tblCalidadRegistrada[Muestra],0))</f>
        <v/>
      </c>
      <c r="K108" s="6">
        <f>INDEX(tblCalidadRegistrada[Origen del dato],MATCH(tblCalidadCalculada[[#This Row],[Muestra]],tblCalidadRegistrada[Muestra],0))</f>
        <v/>
      </c>
      <c r="L108" s="14">
        <f>INDEX(tblMSCalculada[Biomasa informada en el libro histórico (kg MS/ha)],MATCH(tblCalidadCalculada[[#This Row],[Muestra]],tblMSCalculada[Muestra],0))</f>
        <v/>
      </c>
      <c r="M108" s="14">
        <f>IF(tblCalidadCalculada[[#This Row],[Nitrógeno medido (%)]]="",tblCalidadCalculada[[#This Row],[Nitrógeno estimado (%)]],tblCalidadCalculada[[#This Row],[Nitrógeno medido (%)]])</f>
        <v/>
      </c>
      <c r="N108" s="14">
        <f>IF(tblCalidadCalculada[[#This Row],[Estado de la medición]]="estimated",INDEX(tblCalidadFaltante[Nitrógeno estimado (%)],MATCH(tblCalidadCalculada[[#This Row],[Muestra]],tblCalidadFaltante[Muestra],0)),"")</f>
        <v/>
      </c>
      <c r="O108" s="14">
        <f>IF(tblCalidadCalculada[[#This Row],[Estado de la medición]]="estimated",INDEX(tblCalidadFaltante[FDA estimada (%)],MATCH(tblCalidadCalculada[[#This Row],[Muestra]],tblCalidadFaltante[Muestra],0)),"")</f>
        <v/>
      </c>
      <c r="P108" s="14">
        <f>IF(tblCalidadCalculada[[#This Row],[Estado de la medición]]="estimated",INDEX(tblCalidadFaltante[FDN estimada (%)],MATCH(tblCalidadCalculada[[#This Row],[Muestra]],tblCalidadFaltante[Muestra],0)),"")</f>
        <v/>
      </c>
      <c r="Q108" s="14">
        <f>tblCalidadCalculada[[#This Row],[Biomasa informada enlazada (kg MS/ha)]]*tblCalidadCalculada[[#This Row],[Nitrógeno efectivo (%)]]/100</f>
        <v/>
      </c>
      <c r="R108" s="14">
        <f>4.8*(tblCalidadCalculada[[#This Row],[Biomasa informada enlazada (kg MS/ha)]]/1000)^(-0.32)</f>
        <v/>
      </c>
      <c r="S108" s="14">
        <f>tblCalidadCalculada[[#This Row],[Nitrógeno efectivo (%)]]/tblCalidadCalculada[[#This Row],[Concentración crítica de nitrógeno (%)]]</f>
        <v/>
      </c>
      <c r="T108" s="6" t="inlineStr">
        <is>
          <t>from_measured_quality</t>
        </is>
      </c>
    </row>
    <row r="109">
      <c r="A109" s="12" t="n">
        <v>105</v>
      </c>
      <c r="B109" s="13">
        <f>INDEX(tblCalidadRegistrada[Fecha],MATCH(tblCalidadCalculada[[#This Row],[Muestra]],tblCalidadRegistrada[Muestra],0))</f>
        <v/>
      </c>
      <c r="C109" s="6">
        <f>INDEX(tblCalidadRegistrada[Sector hídrico],MATCH(tblCalidadCalculada[[#This Row],[Muestra]],tblCalidadRegistrada[Muestra],0))</f>
        <v/>
      </c>
      <c r="D109" s="6">
        <f>INDEX(tblCalidadRegistrada[Tratamiento],MATCH(tblCalidadCalculada[[#This Row],[Muestra]],tblCalidadRegistrada[Muestra],0))</f>
        <v/>
      </c>
      <c r="E109" s="6">
        <f>INDEX(tblCalidadRegistrada[Bloque],MATCH(tblCalidadCalculada[[#This Row],[Muestra]],tblCalidadRegistrada[Muestra],0))</f>
        <v/>
      </c>
      <c r="F109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09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09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09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09" s="6">
        <f>INDEX(tblCalidadRegistrada[Estado de la medición],MATCH(tblCalidadCalculada[[#This Row],[Muestra]],tblCalidadRegistrada[Muestra],0))</f>
        <v/>
      </c>
      <c r="K109" s="6">
        <f>INDEX(tblCalidadRegistrada[Origen del dato],MATCH(tblCalidadCalculada[[#This Row],[Muestra]],tblCalidadRegistrada[Muestra],0))</f>
        <v/>
      </c>
      <c r="L109" s="14">
        <f>INDEX(tblMSCalculada[Biomasa informada en el libro histórico (kg MS/ha)],MATCH(tblCalidadCalculada[[#This Row],[Muestra]],tblMSCalculada[Muestra],0))</f>
        <v/>
      </c>
      <c r="M109" s="14">
        <f>IF(tblCalidadCalculada[[#This Row],[Nitrógeno medido (%)]]="",tblCalidadCalculada[[#This Row],[Nitrógeno estimado (%)]],tblCalidadCalculada[[#This Row],[Nitrógeno medido (%)]])</f>
        <v/>
      </c>
      <c r="N109" s="14">
        <f>IF(tblCalidadCalculada[[#This Row],[Estado de la medición]]="estimated",INDEX(tblCalidadFaltante[Nitrógeno estimado (%)],MATCH(tblCalidadCalculada[[#This Row],[Muestra]],tblCalidadFaltante[Muestra],0)),"")</f>
        <v/>
      </c>
      <c r="O109" s="14">
        <f>IF(tblCalidadCalculada[[#This Row],[Estado de la medición]]="estimated",INDEX(tblCalidadFaltante[FDA estimada (%)],MATCH(tblCalidadCalculada[[#This Row],[Muestra]],tblCalidadFaltante[Muestra],0)),"")</f>
        <v/>
      </c>
      <c r="P109" s="14">
        <f>IF(tblCalidadCalculada[[#This Row],[Estado de la medición]]="estimated",INDEX(tblCalidadFaltante[FDN estimada (%)],MATCH(tblCalidadCalculada[[#This Row],[Muestra]],tblCalidadFaltante[Muestra],0)),"")</f>
        <v/>
      </c>
      <c r="Q109" s="14">
        <f>tblCalidadCalculada[[#This Row],[Biomasa informada enlazada (kg MS/ha)]]*tblCalidadCalculada[[#This Row],[Nitrógeno efectivo (%)]]/100</f>
        <v/>
      </c>
      <c r="R109" s="14">
        <f>4.8*(tblCalidadCalculada[[#This Row],[Biomasa informada enlazada (kg MS/ha)]]/1000)^(-0.32)</f>
        <v/>
      </c>
      <c r="S109" s="14">
        <f>tblCalidadCalculada[[#This Row],[Nitrógeno efectivo (%)]]/tblCalidadCalculada[[#This Row],[Concentración crítica de nitrógeno (%)]]</f>
        <v/>
      </c>
      <c r="T109" s="6" t="inlineStr">
        <is>
          <t>from_measured_quality</t>
        </is>
      </c>
    </row>
    <row r="110">
      <c r="A110" s="12" t="n">
        <v>106</v>
      </c>
      <c r="B110" s="13">
        <f>INDEX(tblCalidadRegistrada[Fecha],MATCH(tblCalidadCalculada[[#This Row],[Muestra]],tblCalidadRegistrada[Muestra],0))</f>
        <v/>
      </c>
      <c r="C110" s="6">
        <f>INDEX(tblCalidadRegistrada[Sector hídrico],MATCH(tblCalidadCalculada[[#This Row],[Muestra]],tblCalidadRegistrada[Muestra],0))</f>
        <v/>
      </c>
      <c r="D110" s="6">
        <f>INDEX(tblCalidadRegistrada[Tratamiento],MATCH(tblCalidadCalculada[[#This Row],[Muestra]],tblCalidadRegistrada[Muestra],0))</f>
        <v/>
      </c>
      <c r="E110" s="6">
        <f>INDEX(tblCalidadRegistrada[Bloque],MATCH(tblCalidadCalculada[[#This Row],[Muestra]],tblCalidadRegistrada[Muestra],0))</f>
        <v/>
      </c>
      <c r="F110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10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10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10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10" s="6">
        <f>INDEX(tblCalidadRegistrada[Estado de la medición],MATCH(tblCalidadCalculada[[#This Row],[Muestra]],tblCalidadRegistrada[Muestra],0))</f>
        <v/>
      </c>
      <c r="K110" s="6">
        <f>INDEX(tblCalidadRegistrada[Origen del dato],MATCH(tblCalidadCalculada[[#This Row],[Muestra]],tblCalidadRegistrada[Muestra],0))</f>
        <v/>
      </c>
      <c r="L110" s="14">
        <f>INDEX(tblMSCalculada[Biomasa informada en el libro histórico (kg MS/ha)],MATCH(tblCalidadCalculada[[#This Row],[Muestra]],tblMSCalculada[Muestra],0))</f>
        <v/>
      </c>
      <c r="M110" s="14">
        <f>IF(tblCalidadCalculada[[#This Row],[Nitrógeno medido (%)]]="",tblCalidadCalculada[[#This Row],[Nitrógeno estimado (%)]],tblCalidadCalculada[[#This Row],[Nitrógeno medido (%)]])</f>
        <v/>
      </c>
      <c r="N110" s="14">
        <f>IF(tblCalidadCalculada[[#This Row],[Estado de la medición]]="estimated",INDEX(tblCalidadFaltante[Nitrógeno estimado (%)],MATCH(tblCalidadCalculada[[#This Row],[Muestra]],tblCalidadFaltante[Muestra],0)),"")</f>
        <v/>
      </c>
      <c r="O110" s="14">
        <f>IF(tblCalidadCalculada[[#This Row],[Estado de la medición]]="estimated",INDEX(tblCalidadFaltante[FDA estimada (%)],MATCH(tblCalidadCalculada[[#This Row],[Muestra]],tblCalidadFaltante[Muestra],0)),"")</f>
        <v/>
      </c>
      <c r="P110" s="14">
        <f>IF(tblCalidadCalculada[[#This Row],[Estado de la medición]]="estimated",INDEX(tblCalidadFaltante[FDN estimada (%)],MATCH(tblCalidadCalculada[[#This Row],[Muestra]],tblCalidadFaltante[Muestra],0)),"")</f>
        <v/>
      </c>
      <c r="Q110" s="14">
        <f>tblCalidadCalculada[[#This Row],[Biomasa informada enlazada (kg MS/ha)]]*tblCalidadCalculada[[#This Row],[Nitrógeno efectivo (%)]]/100</f>
        <v/>
      </c>
      <c r="R110" s="14">
        <f>4.8*(tblCalidadCalculada[[#This Row],[Biomasa informada enlazada (kg MS/ha)]]/1000)^(-0.32)</f>
        <v/>
      </c>
      <c r="S110" s="14">
        <f>tblCalidadCalculada[[#This Row],[Nitrógeno efectivo (%)]]/tblCalidadCalculada[[#This Row],[Concentración crítica de nitrógeno (%)]]</f>
        <v/>
      </c>
      <c r="T110" s="6" t="inlineStr">
        <is>
          <t>from_measured_quality</t>
        </is>
      </c>
    </row>
    <row r="111">
      <c r="A111" s="12" t="n">
        <v>107</v>
      </c>
      <c r="B111" s="13">
        <f>INDEX(tblCalidadRegistrada[Fecha],MATCH(tblCalidadCalculada[[#This Row],[Muestra]],tblCalidadRegistrada[Muestra],0))</f>
        <v/>
      </c>
      <c r="C111" s="6">
        <f>INDEX(tblCalidadRegistrada[Sector hídrico],MATCH(tblCalidadCalculada[[#This Row],[Muestra]],tblCalidadRegistrada[Muestra],0))</f>
        <v/>
      </c>
      <c r="D111" s="6">
        <f>INDEX(tblCalidadRegistrada[Tratamiento],MATCH(tblCalidadCalculada[[#This Row],[Muestra]],tblCalidadRegistrada[Muestra],0))</f>
        <v/>
      </c>
      <c r="E111" s="6">
        <f>INDEX(tblCalidadRegistrada[Bloque],MATCH(tblCalidadCalculada[[#This Row],[Muestra]],tblCalidadRegistrada[Muestra],0))</f>
        <v/>
      </c>
      <c r="F111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11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11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11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11" s="6">
        <f>INDEX(tblCalidadRegistrada[Estado de la medición],MATCH(tblCalidadCalculada[[#This Row],[Muestra]],tblCalidadRegistrada[Muestra],0))</f>
        <v/>
      </c>
      <c r="K111" s="6">
        <f>INDEX(tblCalidadRegistrada[Origen del dato],MATCH(tblCalidadCalculada[[#This Row],[Muestra]],tblCalidadRegistrada[Muestra],0))</f>
        <v/>
      </c>
      <c r="L111" s="14">
        <f>INDEX(tblMSCalculada[Biomasa informada en el libro histórico (kg MS/ha)],MATCH(tblCalidadCalculada[[#This Row],[Muestra]],tblMSCalculada[Muestra],0))</f>
        <v/>
      </c>
      <c r="M111" s="14">
        <f>IF(tblCalidadCalculada[[#This Row],[Nitrógeno medido (%)]]="",tblCalidadCalculada[[#This Row],[Nitrógeno estimado (%)]],tblCalidadCalculada[[#This Row],[Nitrógeno medido (%)]])</f>
        <v/>
      </c>
      <c r="N111" s="14">
        <f>IF(tblCalidadCalculada[[#This Row],[Estado de la medición]]="estimated",INDEX(tblCalidadFaltante[Nitrógeno estimado (%)],MATCH(tblCalidadCalculada[[#This Row],[Muestra]],tblCalidadFaltante[Muestra],0)),"")</f>
        <v/>
      </c>
      <c r="O111" s="14">
        <f>IF(tblCalidadCalculada[[#This Row],[Estado de la medición]]="estimated",INDEX(tblCalidadFaltante[FDA estimada (%)],MATCH(tblCalidadCalculada[[#This Row],[Muestra]],tblCalidadFaltante[Muestra],0)),"")</f>
        <v/>
      </c>
      <c r="P111" s="14">
        <f>IF(tblCalidadCalculada[[#This Row],[Estado de la medición]]="estimated",INDEX(tblCalidadFaltante[FDN estimada (%)],MATCH(tblCalidadCalculada[[#This Row],[Muestra]],tblCalidadFaltante[Muestra],0)),"")</f>
        <v/>
      </c>
      <c r="Q111" s="14">
        <f>tblCalidadCalculada[[#This Row],[Biomasa informada enlazada (kg MS/ha)]]*tblCalidadCalculada[[#This Row],[Nitrógeno efectivo (%)]]/100</f>
        <v/>
      </c>
      <c r="R111" s="14">
        <f>4.8*(tblCalidadCalculada[[#This Row],[Biomasa informada enlazada (kg MS/ha)]]/1000)^(-0.32)</f>
        <v/>
      </c>
      <c r="S111" s="14">
        <f>tblCalidadCalculada[[#This Row],[Nitrógeno efectivo (%)]]/tblCalidadCalculada[[#This Row],[Concentración crítica de nitrógeno (%)]]</f>
        <v/>
      </c>
      <c r="T111" s="6" t="inlineStr">
        <is>
          <t>from_measured_quality</t>
        </is>
      </c>
    </row>
    <row r="112">
      <c r="A112" s="12" t="n">
        <v>108</v>
      </c>
      <c r="B112" s="13">
        <f>INDEX(tblCalidadRegistrada[Fecha],MATCH(tblCalidadCalculada[[#This Row],[Muestra]],tblCalidadRegistrada[Muestra],0))</f>
        <v/>
      </c>
      <c r="C112" s="6">
        <f>INDEX(tblCalidadRegistrada[Sector hídrico],MATCH(tblCalidadCalculada[[#This Row],[Muestra]],tblCalidadRegistrada[Muestra],0))</f>
        <v/>
      </c>
      <c r="D112" s="6">
        <f>INDEX(tblCalidadRegistrada[Tratamiento],MATCH(tblCalidadCalculada[[#This Row],[Muestra]],tblCalidadRegistrada[Muestra],0))</f>
        <v/>
      </c>
      <c r="E112" s="6">
        <f>INDEX(tblCalidadRegistrada[Bloque],MATCH(tblCalidadCalculada[[#This Row],[Muestra]],tblCalidadRegistrada[Muestra],0))</f>
        <v/>
      </c>
      <c r="F112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12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12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12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12" s="6">
        <f>INDEX(tblCalidadRegistrada[Estado de la medición],MATCH(tblCalidadCalculada[[#This Row],[Muestra]],tblCalidadRegistrada[Muestra],0))</f>
        <v/>
      </c>
      <c r="K112" s="6">
        <f>INDEX(tblCalidadRegistrada[Origen del dato],MATCH(tblCalidadCalculada[[#This Row],[Muestra]],tblCalidadRegistrada[Muestra],0))</f>
        <v/>
      </c>
      <c r="L112" s="14">
        <f>INDEX(tblMSCalculada[Biomasa informada en el libro histórico (kg MS/ha)],MATCH(tblCalidadCalculada[[#This Row],[Muestra]],tblMSCalculada[Muestra],0))</f>
        <v/>
      </c>
      <c r="M112" s="14">
        <f>IF(tblCalidadCalculada[[#This Row],[Nitrógeno medido (%)]]="",tblCalidadCalculada[[#This Row],[Nitrógeno estimado (%)]],tblCalidadCalculada[[#This Row],[Nitrógeno medido (%)]])</f>
        <v/>
      </c>
      <c r="N112" s="14">
        <f>IF(tblCalidadCalculada[[#This Row],[Estado de la medición]]="estimated",INDEX(tblCalidadFaltante[Nitrógeno estimado (%)],MATCH(tblCalidadCalculada[[#This Row],[Muestra]],tblCalidadFaltante[Muestra],0)),"")</f>
        <v/>
      </c>
      <c r="O112" s="14">
        <f>IF(tblCalidadCalculada[[#This Row],[Estado de la medición]]="estimated",INDEX(tblCalidadFaltante[FDA estimada (%)],MATCH(tblCalidadCalculada[[#This Row],[Muestra]],tblCalidadFaltante[Muestra],0)),"")</f>
        <v/>
      </c>
      <c r="P112" s="14">
        <f>IF(tblCalidadCalculada[[#This Row],[Estado de la medición]]="estimated",INDEX(tblCalidadFaltante[FDN estimada (%)],MATCH(tblCalidadCalculada[[#This Row],[Muestra]],tblCalidadFaltante[Muestra],0)),"")</f>
        <v/>
      </c>
      <c r="Q112" s="14">
        <f>tblCalidadCalculada[[#This Row],[Biomasa informada enlazada (kg MS/ha)]]*tblCalidadCalculada[[#This Row],[Nitrógeno efectivo (%)]]/100</f>
        <v/>
      </c>
      <c r="R112" s="14">
        <f>4.8*(tblCalidadCalculada[[#This Row],[Biomasa informada enlazada (kg MS/ha)]]/1000)^(-0.32)</f>
        <v/>
      </c>
      <c r="S112" s="14">
        <f>tblCalidadCalculada[[#This Row],[Nitrógeno efectivo (%)]]/tblCalidadCalculada[[#This Row],[Concentración crítica de nitrógeno (%)]]</f>
        <v/>
      </c>
      <c r="T112" s="6" t="inlineStr">
        <is>
          <t>from_measured_quality</t>
        </is>
      </c>
    </row>
    <row r="113">
      <c r="A113" s="12" t="n">
        <v>109</v>
      </c>
      <c r="B113" s="13">
        <f>INDEX(tblCalidadRegistrada[Fecha],MATCH(tblCalidadCalculada[[#This Row],[Muestra]],tblCalidadRegistrada[Muestra],0))</f>
        <v/>
      </c>
      <c r="C113" s="6">
        <f>INDEX(tblCalidadRegistrada[Sector hídrico],MATCH(tblCalidadCalculada[[#This Row],[Muestra]],tblCalidadRegistrada[Muestra],0))</f>
        <v/>
      </c>
      <c r="D113" s="6">
        <f>INDEX(tblCalidadRegistrada[Tratamiento],MATCH(tblCalidadCalculada[[#This Row],[Muestra]],tblCalidadRegistrada[Muestra],0))</f>
        <v/>
      </c>
      <c r="E113" s="6">
        <f>INDEX(tblCalidadRegistrada[Bloque],MATCH(tblCalidadCalculada[[#This Row],[Muestra]],tblCalidadRegistrada[Muestra],0))</f>
        <v/>
      </c>
      <c r="F113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13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13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13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13" s="6">
        <f>INDEX(tblCalidadRegistrada[Estado de la medición],MATCH(tblCalidadCalculada[[#This Row],[Muestra]],tblCalidadRegistrada[Muestra],0))</f>
        <v/>
      </c>
      <c r="K113" s="6">
        <f>INDEX(tblCalidadRegistrada[Origen del dato],MATCH(tblCalidadCalculada[[#This Row],[Muestra]],tblCalidadRegistrada[Muestra],0))</f>
        <v/>
      </c>
      <c r="L113" s="14">
        <f>INDEX(tblMSCalculada[Biomasa informada en el libro histórico (kg MS/ha)],MATCH(tblCalidadCalculada[[#This Row],[Muestra]],tblMSCalculada[Muestra],0))</f>
        <v/>
      </c>
      <c r="M113" s="14">
        <f>IF(tblCalidadCalculada[[#This Row],[Nitrógeno medido (%)]]="",tblCalidadCalculada[[#This Row],[Nitrógeno estimado (%)]],tblCalidadCalculada[[#This Row],[Nitrógeno medido (%)]])</f>
        <v/>
      </c>
      <c r="N113" s="14">
        <f>IF(tblCalidadCalculada[[#This Row],[Estado de la medición]]="estimated",INDEX(tblCalidadFaltante[Nitrógeno estimado (%)],MATCH(tblCalidadCalculada[[#This Row],[Muestra]],tblCalidadFaltante[Muestra],0)),"")</f>
        <v/>
      </c>
      <c r="O113" s="14">
        <f>IF(tblCalidadCalculada[[#This Row],[Estado de la medición]]="estimated",INDEX(tblCalidadFaltante[FDA estimada (%)],MATCH(tblCalidadCalculada[[#This Row],[Muestra]],tblCalidadFaltante[Muestra],0)),"")</f>
        <v/>
      </c>
      <c r="P113" s="14">
        <f>IF(tblCalidadCalculada[[#This Row],[Estado de la medición]]="estimated",INDEX(tblCalidadFaltante[FDN estimada (%)],MATCH(tblCalidadCalculada[[#This Row],[Muestra]],tblCalidadFaltante[Muestra],0)),"")</f>
        <v/>
      </c>
      <c r="Q113" s="14">
        <f>tblCalidadCalculada[[#This Row],[Biomasa informada enlazada (kg MS/ha)]]*tblCalidadCalculada[[#This Row],[Nitrógeno efectivo (%)]]/100</f>
        <v/>
      </c>
      <c r="R113" s="14">
        <f>4.8*(tblCalidadCalculada[[#This Row],[Biomasa informada enlazada (kg MS/ha)]]/1000)^(-0.32)</f>
        <v/>
      </c>
      <c r="S113" s="14">
        <f>tblCalidadCalculada[[#This Row],[Nitrógeno efectivo (%)]]/tblCalidadCalculada[[#This Row],[Concentración crítica de nitrógeno (%)]]</f>
        <v/>
      </c>
      <c r="T113" s="6" t="inlineStr">
        <is>
          <t>from_measured_quality</t>
        </is>
      </c>
    </row>
    <row r="114">
      <c r="A114" s="12" t="n">
        <v>110</v>
      </c>
      <c r="B114" s="13">
        <f>INDEX(tblCalidadRegistrada[Fecha],MATCH(tblCalidadCalculada[[#This Row],[Muestra]],tblCalidadRegistrada[Muestra],0))</f>
        <v/>
      </c>
      <c r="C114" s="6">
        <f>INDEX(tblCalidadRegistrada[Sector hídrico],MATCH(tblCalidadCalculada[[#This Row],[Muestra]],tblCalidadRegistrada[Muestra],0))</f>
        <v/>
      </c>
      <c r="D114" s="6">
        <f>INDEX(tblCalidadRegistrada[Tratamiento],MATCH(tblCalidadCalculada[[#This Row],[Muestra]],tblCalidadRegistrada[Muestra],0))</f>
        <v/>
      </c>
      <c r="E114" s="6">
        <f>INDEX(tblCalidadRegistrada[Bloque],MATCH(tblCalidadCalculada[[#This Row],[Muestra]],tblCalidadRegistrada[Muestra],0))</f>
        <v/>
      </c>
      <c r="F114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14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14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14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14" s="6">
        <f>INDEX(tblCalidadRegistrada[Estado de la medición],MATCH(tblCalidadCalculada[[#This Row],[Muestra]],tblCalidadRegistrada[Muestra],0))</f>
        <v/>
      </c>
      <c r="K114" s="6">
        <f>INDEX(tblCalidadRegistrada[Origen del dato],MATCH(tblCalidadCalculada[[#This Row],[Muestra]],tblCalidadRegistrada[Muestra],0))</f>
        <v/>
      </c>
      <c r="L114" s="14">
        <f>INDEX(tblMSCalculada[Biomasa informada en el libro histórico (kg MS/ha)],MATCH(tblCalidadCalculada[[#This Row],[Muestra]],tblMSCalculada[Muestra],0))</f>
        <v/>
      </c>
      <c r="M114" s="14">
        <f>IF(tblCalidadCalculada[[#This Row],[Nitrógeno medido (%)]]="",tblCalidadCalculada[[#This Row],[Nitrógeno estimado (%)]],tblCalidadCalculada[[#This Row],[Nitrógeno medido (%)]])</f>
        <v/>
      </c>
      <c r="N114" s="14">
        <f>IF(tblCalidadCalculada[[#This Row],[Estado de la medición]]="estimated",INDEX(tblCalidadFaltante[Nitrógeno estimado (%)],MATCH(tblCalidadCalculada[[#This Row],[Muestra]],tblCalidadFaltante[Muestra],0)),"")</f>
        <v/>
      </c>
      <c r="O114" s="14">
        <f>IF(tblCalidadCalculada[[#This Row],[Estado de la medición]]="estimated",INDEX(tblCalidadFaltante[FDA estimada (%)],MATCH(tblCalidadCalculada[[#This Row],[Muestra]],tblCalidadFaltante[Muestra],0)),"")</f>
        <v/>
      </c>
      <c r="P114" s="14">
        <f>IF(tblCalidadCalculada[[#This Row],[Estado de la medición]]="estimated",INDEX(tblCalidadFaltante[FDN estimada (%)],MATCH(tblCalidadCalculada[[#This Row],[Muestra]],tblCalidadFaltante[Muestra],0)),"")</f>
        <v/>
      </c>
      <c r="Q114" s="14">
        <f>tblCalidadCalculada[[#This Row],[Biomasa informada enlazada (kg MS/ha)]]*tblCalidadCalculada[[#This Row],[Nitrógeno efectivo (%)]]/100</f>
        <v/>
      </c>
      <c r="R114" s="14">
        <f>4.8*(tblCalidadCalculada[[#This Row],[Biomasa informada enlazada (kg MS/ha)]]/1000)^(-0.32)</f>
        <v/>
      </c>
      <c r="S114" s="14">
        <f>tblCalidadCalculada[[#This Row],[Nitrógeno efectivo (%)]]/tblCalidadCalculada[[#This Row],[Concentración crítica de nitrógeno (%)]]</f>
        <v/>
      </c>
      <c r="T114" s="6" t="inlineStr">
        <is>
          <t>from_measured_quality</t>
        </is>
      </c>
    </row>
    <row r="115">
      <c r="A115" s="12" t="n">
        <v>111</v>
      </c>
      <c r="B115" s="13">
        <f>INDEX(tblCalidadRegistrada[Fecha],MATCH(tblCalidadCalculada[[#This Row],[Muestra]],tblCalidadRegistrada[Muestra],0))</f>
        <v/>
      </c>
      <c r="C115" s="6">
        <f>INDEX(tblCalidadRegistrada[Sector hídrico],MATCH(tblCalidadCalculada[[#This Row],[Muestra]],tblCalidadRegistrada[Muestra],0))</f>
        <v/>
      </c>
      <c r="D115" s="6">
        <f>INDEX(tblCalidadRegistrada[Tratamiento],MATCH(tblCalidadCalculada[[#This Row],[Muestra]],tblCalidadRegistrada[Muestra],0))</f>
        <v/>
      </c>
      <c r="E115" s="6">
        <f>INDEX(tblCalidadRegistrada[Bloque],MATCH(tblCalidadCalculada[[#This Row],[Muestra]],tblCalidadRegistrada[Muestra],0))</f>
        <v/>
      </c>
      <c r="F115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15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15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15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15" s="6">
        <f>INDEX(tblCalidadRegistrada[Estado de la medición],MATCH(tblCalidadCalculada[[#This Row],[Muestra]],tblCalidadRegistrada[Muestra],0))</f>
        <v/>
      </c>
      <c r="K115" s="6">
        <f>INDEX(tblCalidadRegistrada[Origen del dato],MATCH(tblCalidadCalculada[[#This Row],[Muestra]],tblCalidadRegistrada[Muestra],0))</f>
        <v/>
      </c>
      <c r="L115" s="14">
        <f>INDEX(tblMSCalculada[Biomasa informada en el libro histórico (kg MS/ha)],MATCH(tblCalidadCalculada[[#This Row],[Muestra]],tblMSCalculada[Muestra],0))</f>
        <v/>
      </c>
      <c r="M115" s="14">
        <f>IF(tblCalidadCalculada[[#This Row],[Nitrógeno medido (%)]]="",tblCalidadCalculada[[#This Row],[Nitrógeno estimado (%)]],tblCalidadCalculada[[#This Row],[Nitrógeno medido (%)]])</f>
        <v/>
      </c>
      <c r="N115" s="14">
        <f>IF(tblCalidadCalculada[[#This Row],[Estado de la medición]]="estimated",INDEX(tblCalidadFaltante[Nitrógeno estimado (%)],MATCH(tblCalidadCalculada[[#This Row],[Muestra]],tblCalidadFaltante[Muestra],0)),"")</f>
        <v/>
      </c>
      <c r="O115" s="14">
        <f>IF(tblCalidadCalculada[[#This Row],[Estado de la medición]]="estimated",INDEX(tblCalidadFaltante[FDA estimada (%)],MATCH(tblCalidadCalculada[[#This Row],[Muestra]],tblCalidadFaltante[Muestra],0)),"")</f>
        <v/>
      </c>
      <c r="P115" s="14">
        <f>IF(tblCalidadCalculada[[#This Row],[Estado de la medición]]="estimated",INDEX(tblCalidadFaltante[FDN estimada (%)],MATCH(tblCalidadCalculada[[#This Row],[Muestra]],tblCalidadFaltante[Muestra],0)),"")</f>
        <v/>
      </c>
      <c r="Q115" s="14">
        <f>tblCalidadCalculada[[#This Row],[Biomasa informada enlazada (kg MS/ha)]]*tblCalidadCalculada[[#This Row],[Nitrógeno efectivo (%)]]/100</f>
        <v/>
      </c>
      <c r="R115" s="14">
        <f>4.8*(tblCalidadCalculada[[#This Row],[Biomasa informada enlazada (kg MS/ha)]]/1000)^(-0.32)</f>
        <v/>
      </c>
      <c r="S115" s="14">
        <f>tblCalidadCalculada[[#This Row],[Nitrógeno efectivo (%)]]/tblCalidadCalculada[[#This Row],[Concentración crítica de nitrógeno (%)]]</f>
        <v/>
      </c>
      <c r="T115" s="6" t="inlineStr">
        <is>
          <t>from_measured_quality</t>
        </is>
      </c>
    </row>
    <row r="116">
      <c r="A116" s="12" t="n">
        <v>112</v>
      </c>
      <c r="B116" s="13">
        <f>INDEX(tblCalidadRegistrada[Fecha],MATCH(tblCalidadCalculada[[#This Row],[Muestra]],tblCalidadRegistrada[Muestra],0))</f>
        <v/>
      </c>
      <c r="C116" s="6">
        <f>INDEX(tblCalidadRegistrada[Sector hídrico],MATCH(tblCalidadCalculada[[#This Row],[Muestra]],tblCalidadRegistrada[Muestra],0))</f>
        <v/>
      </c>
      <c r="D116" s="6">
        <f>INDEX(tblCalidadRegistrada[Tratamiento],MATCH(tblCalidadCalculada[[#This Row],[Muestra]],tblCalidadRegistrada[Muestra],0))</f>
        <v/>
      </c>
      <c r="E116" s="6">
        <f>INDEX(tblCalidadRegistrada[Bloque],MATCH(tblCalidadCalculada[[#This Row],[Muestra]],tblCalidadRegistrada[Muestra],0))</f>
        <v/>
      </c>
      <c r="F116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16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16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16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16" s="6">
        <f>INDEX(tblCalidadRegistrada[Estado de la medición],MATCH(tblCalidadCalculada[[#This Row],[Muestra]],tblCalidadRegistrada[Muestra],0))</f>
        <v/>
      </c>
      <c r="K116" s="6">
        <f>INDEX(tblCalidadRegistrada[Origen del dato],MATCH(tblCalidadCalculada[[#This Row],[Muestra]],tblCalidadRegistrada[Muestra],0))</f>
        <v/>
      </c>
      <c r="L116" s="14">
        <f>INDEX(tblMSCalculada[Biomasa informada en el libro histórico (kg MS/ha)],MATCH(tblCalidadCalculada[[#This Row],[Muestra]],tblMSCalculada[Muestra],0))</f>
        <v/>
      </c>
      <c r="M116" s="14">
        <f>IF(tblCalidadCalculada[[#This Row],[Nitrógeno medido (%)]]="",tblCalidadCalculada[[#This Row],[Nitrógeno estimado (%)]],tblCalidadCalculada[[#This Row],[Nitrógeno medido (%)]])</f>
        <v/>
      </c>
      <c r="N116" s="14">
        <f>IF(tblCalidadCalculada[[#This Row],[Estado de la medición]]="estimated",INDEX(tblCalidadFaltante[Nitrógeno estimado (%)],MATCH(tblCalidadCalculada[[#This Row],[Muestra]],tblCalidadFaltante[Muestra],0)),"")</f>
        <v/>
      </c>
      <c r="O116" s="14">
        <f>IF(tblCalidadCalculada[[#This Row],[Estado de la medición]]="estimated",INDEX(tblCalidadFaltante[FDA estimada (%)],MATCH(tblCalidadCalculada[[#This Row],[Muestra]],tblCalidadFaltante[Muestra],0)),"")</f>
        <v/>
      </c>
      <c r="P116" s="14">
        <f>IF(tblCalidadCalculada[[#This Row],[Estado de la medición]]="estimated",INDEX(tblCalidadFaltante[FDN estimada (%)],MATCH(tblCalidadCalculada[[#This Row],[Muestra]],tblCalidadFaltante[Muestra],0)),"")</f>
        <v/>
      </c>
      <c r="Q116" s="14">
        <f>tblCalidadCalculada[[#This Row],[Biomasa informada enlazada (kg MS/ha)]]*tblCalidadCalculada[[#This Row],[Nitrógeno efectivo (%)]]/100</f>
        <v/>
      </c>
      <c r="R116" s="14">
        <f>4.8*(tblCalidadCalculada[[#This Row],[Biomasa informada enlazada (kg MS/ha)]]/1000)^(-0.32)</f>
        <v/>
      </c>
      <c r="S116" s="14">
        <f>tblCalidadCalculada[[#This Row],[Nitrógeno efectivo (%)]]/tblCalidadCalculada[[#This Row],[Concentración crítica de nitrógeno (%)]]</f>
        <v/>
      </c>
      <c r="T116" s="6" t="inlineStr">
        <is>
          <t>from_measured_quality</t>
        </is>
      </c>
    </row>
    <row r="117">
      <c r="A117" s="12" t="n">
        <v>113</v>
      </c>
      <c r="B117" s="13">
        <f>INDEX(tblCalidadRegistrada[Fecha],MATCH(tblCalidadCalculada[[#This Row],[Muestra]],tblCalidadRegistrada[Muestra],0))</f>
        <v/>
      </c>
      <c r="C117" s="6">
        <f>INDEX(tblCalidadRegistrada[Sector hídrico],MATCH(tblCalidadCalculada[[#This Row],[Muestra]],tblCalidadRegistrada[Muestra],0))</f>
        <v/>
      </c>
      <c r="D117" s="6">
        <f>INDEX(tblCalidadRegistrada[Tratamiento],MATCH(tblCalidadCalculada[[#This Row],[Muestra]],tblCalidadRegistrada[Muestra],0))</f>
        <v/>
      </c>
      <c r="E117" s="6">
        <f>INDEX(tblCalidadRegistrada[Bloque],MATCH(tblCalidadCalculada[[#This Row],[Muestra]],tblCalidadRegistrada[Muestra],0))</f>
        <v/>
      </c>
      <c r="F117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17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17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17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17" s="6">
        <f>INDEX(tblCalidadRegistrada[Estado de la medición],MATCH(tblCalidadCalculada[[#This Row],[Muestra]],tblCalidadRegistrada[Muestra],0))</f>
        <v/>
      </c>
      <c r="K117" s="6">
        <f>INDEX(tblCalidadRegistrada[Origen del dato],MATCH(tblCalidadCalculada[[#This Row],[Muestra]],tblCalidadRegistrada[Muestra],0))</f>
        <v/>
      </c>
      <c r="L117" s="14">
        <f>INDEX(tblMSCalculada[Biomasa informada en el libro histórico (kg MS/ha)],MATCH(tblCalidadCalculada[[#This Row],[Muestra]],tblMSCalculada[Muestra],0))</f>
        <v/>
      </c>
      <c r="M117" s="14">
        <f>IF(tblCalidadCalculada[[#This Row],[Nitrógeno medido (%)]]="",tblCalidadCalculada[[#This Row],[Nitrógeno estimado (%)]],tblCalidadCalculada[[#This Row],[Nitrógeno medido (%)]])</f>
        <v/>
      </c>
      <c r="N117" s="14">
        <f>IF(tblCalidadCalculada[[#This Row],[Estado de la medición]]="estimated",INDEX(tblCalidadFaltante[Nitrógeno estimado (%)],MATCH(tblCalidadCalculada[[#This Row],[Muestra]],tblCalidadFaltante[Muestra],0)),"")</f>
        <v/>
      </c>
      <c r="O117" s="14">
        <f>IF(tblCalidadCalculada[[#This Row],[Estado de la medición]]="estimated",INDEX(tblCalidadFaltante[FDA estimada (%)],MATCH(tblCalidadCalculada[[#This Row],[Muestra]],tblCalidadFaltante[Muestra],0)),"")</f>
        <v/>
      </c>
      <c r="P117" s="14">
        <f>IF(tblCalidadCalculada[[#This Row],[Estado de la medición]]="estimated",INDEX(tblCalidadFaltante[FDN estimada (%)],MATCH(tblCalidadCalculada[[#This Row],[Muestra]],tblCalidadFaltante[Muestra],0)),"")</f>
        <v/>
      </c>
      <c r="Q117" s="14">
        <f>tblCalidadCalculada[[#This Row],[Biomasa informada enlazada (kg MS/ha)]]*tblCalidadCalculada[[#This Row],[Nitrógeno efectivo (%)]]/100</f>
        <v/>
      </c>
      <c r="R117" s="14">
        <f>4.8*(tblCalidadCalculada[[#This Row],[Biomasa informada enlazada (kg MS/ha)]]/1000)^(-0.32)</f>
        <v/>
      </c>
      <c r="S117" s="14">
        <f>tblCalidadCalculada[[#This Row],[Nitrógeno efectivo (%)]]/tblCalidadCalculada[[#This Row],[Concentración crítica de nitrógeno (%)]]</f>
        <v/>
      </c>
      <c r="T117" s="6" t="inlineStr">
        <is>
          <t>from_measured_quality</t>
        </is>
      </c>
    </row>
    <row r="118">
      <c r="A118" s="12" t="n">
        <v>114</v>
      </c>
      <c r="B118" s="13">
        <f>INDEX(tblCalidadRegistrada[Fecha],MATCH(tblCalidadCalculada[[#This Row],[Muestra]],tblCalidadRegistrada[Muestra],0))</f>
        <v/>
      </c>
      <c r="C118" s="6">
        <f>INDEX(tblCalidadRegistrada[Sector hídrico],MATCH(tblCalidadCalculada[[#This Row],[Muestra]],tblCalidadRegistrada[Muestra],0))</f>
        <v/>
      </c>
      <c r="D118" s="6">
        <f>INDEX(tblCalidadRegistrada[Tratamiento],MATCH(tblCalidadCalculada[[#This Row],[Muestra]],tblCalidadRegistrada[Muestra],0))</f>
        <v/>
      </c>
      <c r="E118" s="6">
        <f>INDEX(tblCalidadRegistrada[Bloque],MATCH(tblCalidadCalculada[[#This Row],[Muestra]],tblCalidadRegistrada[Muestra],0))</f>
        <v/>
      </c>
      <c r="F118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18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18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18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18" s="6">
        <f>INDEX(tblCalidadRegistrada[Estado de la medición],MATCH(tblCalidadCalculada[[#This Row],[Muestra]],tblCalidadRegistrada[Muestra],0))</f>
        <v/>
      </c>
      <c r="K118" s="6">
        <f>INDEX(tblCalidadRegistrada[Origen del dato],MATCH(tblCalidadCalculada[[#This Row],[Muestra]],tblCalidadRegistrada[Muestra],0))</f>
        <v/>
      </c>
      <c r="L118" s="14">
        <f>INDEX(tblMSCalculada[Biomasa informada en el libro histórico (kg MS/ha)],MATCH(tblCalidadCalculada[[#This Row],[Muestra]],tblMSCalculada[Muestra],0))</f>
        <v/>
      </c>
      <c r="M118" s="14">
        <f>IF(tblCalidadCalculada[[#This Row],[Nitrógeno medido (%)]]="",tblCalidadCalculada[[#This Row],[Nitrógeno estimado (%)]],tblCalidadCalculada[[#This Row],[Nitrógeno medido (%)]])</f>
        <v/>
      </c>
      <c r="N118" s="14">
        <f>IF(tblCalidadCalculada[[#This Row],[Estado de la medición]]="estimated",INDEX(tblCalidadFaltante[Nitrógeno estimado (%)],MATCH(tblCalidadCalculada[[#This Row],[Muestra]],tblCalidadFaltante[Muestra],0)),"")</f>
        <v/>
      </c>
      <c r="O118" s="14">
        <f>IF(tblCalidadCalculada[[#This Row],[Estado de la medición]]="estimated",INDEX(tblCalidadFaltante[FDA estimada (%)],MATCH(tblCalidadCalculada[[#This Row],[Muestra]],tblCalidadFaltante[Muestra],0)),"")</f>
        <v/>
      </c>
      <c r="P118" s="14">
        <f>IF(tblCalidadCalculada[[#This Row],[Estado de la medición]]="estimated",INDEX(tblCalidadFaltante[FDN estimada (%)],MATCH(tblCalidadCalculada[[#This Row],[Muestra]],tblCalidadFaltante[Muestra],0)),"")</f>
        <v/>
      </c>
      <c r="Q118" s="14">
        <f>tblCalidadCalculada[[#This Row],[Biomasa informada enlazada (kg MS/ha)]]*tblCalidadCalculada[[#This Row],[Nitrógeno efectivo (%)]]/100</f>
        <v/>
      </c>
      <c r="R118" s="14">
        <f>4.8*(tblCalidadCalculada[[#This Row],[Biomasa informada enlazada (kg MS/ha)]]/1000)^(-0.32)</f>
        <v/>
      </c>
      <c r="S118" s="14">
        <f>tblCalidadCalculada[[#This Row],[Nitrógeno efectivo (%)]]/tblCalidadCalculada[[#This Row],[Concentración crítica de nitrógeno (%)]]</f>
        <v/>
      </c>
      <c r="T118" s="6" t="inlineStr">
        <is>
          <t>from_measured_quality</t>
        </is>
      </c>
    </row>
    <row r="119">
      <c r="A119" s="12" t="n">
        <v>115</v>
      </c>
      <c r="B119" s="13">
        <f>INDEX(tblCalidadRegistrada[Fecha],MATCH(tblCalidadCalculada[[#This Row],[Muestra]],tblCalidadRegistrada[Muestra],0))</f>
        <v/>
      </c>
      <c r="C119" s="6">
        <f>INDEX(tblCalidadRegistrada[Sector hídrico],MATCH(tblCalidadCalculada[[#This Row],[Muestra]],tblCalidadRegistrada[Muestra],0))</f>
        <v/>
      </c>
      <c r="D119" s="6">
        <f>INDEX(tblCalidadRegistrada[Tratamiento],MATCH(tblCalidadCalculada[[#This Row],[Muestra]],tblCalidadRegistrada[Muestra],0))</f>
        <v/>
      </c>
      <c r="E119" s="6">
        <f>INDEX(tblCalidadRegistrada[Bloque],MATCH(tblCalidadCalculada[[#This Row],[Muestra]],tblCalidadRegistrada[Muestra],0))</f>
        <v/>
      </c>
      <c r="F119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19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19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19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19" s="6">
        <f>INDEX(tblCalidadRegistrada[Estado de la medición],MATCH(tblCalidadCalculada[[#This Row],[Muestra]],tblCalidadRegistrada[Muestra],0))</f>
        <v/>
      </c>
      <c r="K119" s="6">
        <f>INDEX(tblCalidadRegistrada[Origen del dato],MATCH(tblCalidadCalculada[[#This Row],[Muestra]],tblCalidadRegistrada[Muestra],0))</f>
        <v/>
      </c>
      <c r="L119" s="14">
        <f>INDEX(tblMSCalculada[Biomasa informada en el libro histórico (kg MS/ha)],MATCH(tblCalidadCalculada[[#This Row],[Muestra]],tblMSCalculada[Muestra],0))</f>
        <v/>
      </c>
      <c r="M119" s="14">
        <f>IF(tblCalidadCalculada[[#This Row],[Nitrógeno medido (%)]]="",tblCalidadCalculada[[#This Row],[Nitrógeno estimado (%)]],tblCalidadCalculada[[#This Row],[Nitrógeno medido (%)]])</f>
        <v/>
      </c>
      <c r="N119" s="14">
        <f>IF(tblCalidadCalculada[[#This Row],[Estado de la medición]]="estimated",INDEX(tblCalidadFaltante[Nitrógeno estimado (%)],MATCH(tblCalidadCalculada[[#This Row],[Muestra]],tblCalidadFaltante[Muestra],0)),"")</f>
        <v/>
      </c>
      <c r="O119" s="14">
        <f>IF(tblCalidadCalculada[[#This Row],[Estado de la medición]]="estimated",INDEX(tblCalidadFaltante[FDA estimada (%)],MATCH(tblCalidadCalculada[[#This Row],[Muestra]],tblCalidadFaltante[Muestra],0)),"")</f>
        <v/>
      </c>
      <c r="P119" s="14">
        <f>IF(tblCalidadCalculada[[#This Row],[Estado de la medición]]="estimated",INDEX(tblCalidadFaltante[FDN estimada (%)],MATCH(tblCalidadCalculada[[#This Row],[Muestra]],tblCalidadFaltante[Muestra],0)),"")</f>
        <v/>
      </c>
      <c r="Q119" s="14">
        <f>tblCalidadCalculada[[#This Row],[Biomasa informada enlazada (kg MS/ha)]]*tblCalidadCalculada[[#This Row],[Nitrógeno efectivo (%)]]/100</f>
        <v/>
      </c>
      <c r="R119" s="14">
        <f>4.8*(tblCalidadCalculada[[#This Row],[Biomasa informada enlazada (kg MS/ha)]]/1000)^(-0.32)</f>
        <v/>
      </c>
      <c r="S119" s="14">
        <f>tblCalidadCalculada[[#This Row],[Nitrógeno efectivo (%)]]/tblCalidadCalculada[[#This Row],[Concentración crítica de nitrógeno (%)]]</f>
        <v/>
      </c>
      <c r="T119" s="6" t="inlineStr">
        <is>
          <t>from_measured_quality</t>
        </is>
      </c>
    </row>
    <row r="120">
      <c r="A120" s="12" t="n">
        <v>116</v>
      </c>
      <c r="B120" s="13">
        <f>INDEX(tblCalidadRegistrada[Fecha],MATCH(tblCalidadCalculada[[#This Row],[Muestra]],tblCalidadRegistrada[Muestra],0))</f>
        <v/>
      </c>
      <c r="C120" s="6">
        <f>INDEX(tblCalidadRegistrada[Sector hídrico],MATCH(tblCalidadCalculada[[#This Row],[Muestra]],tblCalidadRegistrada[Muestra],0))</f>
        <v/>
      </c>
      <c r="D120" s="6">
        <f>INDEX(tblCalidadRegistrada[Tratamiento],MATCH(tblCalidadCalculada[[#This Row],[Muestra]],tblCalidadRegistrada[Muestra],0))</f>
        <v/>
      </c>
      <c r="E120" s="6">
        <f>INDEX(tblCalidadRegistrada[Bloque],MATCH(tblCalidadCalculada[[#This Row],[Muestra]],tblCalidadRegistrada[Muestra],0))</f>
        <v/>
      </c>
      <c r="F120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20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20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20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20" s="6">
        <f>INDEX(tblCalidadRegistrada[Estado de la medición],MATCH(tblCalidadCalculada[[#This Row],[Muestra]],tblCalidadRegistrada[Muestra],0))</f>
        <v/>
      </c>
      <c r="K120" s="6">
        <f>INDEX(tblCalidadRegistrada[Origen del dato],MATCH(tblCalidadCalculada[[#This Row],[Muestra]],tblCalidadRegistrada[Muestra],0))</f>
        <v/>
      </c>
      <c r="L120" s="14">
        <f>INDEX(tblMSCalculada[Biomasa informada en el libro histórico (kg MS/ha)],MATCH(tblCalidadCalculada[[#This Row],[Muestra]],tblMSCalculada[Muestra],0))</f>
        <v/>
      </c>
      <c r="M120" s="14">
        <f>IF(tblCalidadCalculada[[#This Row],[Nitrógeno medido (%)]]="",tblCalidadCalculada[[#This Row],[Nitrógeno estimado (%)]],tblCalidadCalculada[[#This Row],[Nitrógeno medido (%)]])</f>
        <v/>
      </c>
      <c r="N120" s="14">
        <f>IF(tblCalidadCalculada[[#This Row],[Estado de la medición]]="estimated",INDEX(tblCalidadFaltante[Nitrógeno estimado (%)],MATCH(tblCalidadCalculada[[#This Row],[Muestra]],tblCalidadFaltante[Muestra],0)),"")</f>
        <v/>
      </c>
      <c r="O120" s="14">
        <f>IF(tblCalidadCalculada[[#This Row],[Estado de la medición]]="estimated",INDEX(tblCalidadFaltante[FDA estimada (%)],MATCH(tblCalidadCalculada[[#This Row],[Muestra]],tblCalidadFaltante[Muestra],0)),"")</f>
        <v/>
      </c>
      <c r="P120" s="14">
        <f>IF(tblCalidadCalculada[[#This Row],[Estado de la medición]]="estimated",INDEX(tblCalidadFaltante[FDN estimada (%)],MATCH(tblCalidadCalculada[[#This Row],[Muestra]],tblCalidadFaltante[Muestra],0)),"")</f>
        <v/>
      </c>
      <c r="Q120" s="14">
        <f>tblCalidadCalculada[[#This Row],[Biomasa informada enlazada (kg MS/ha)]]*tblCalidadCalculada[[#This Row],[Nitrógeno efectivo (%)]]/100</f>
        <v/>
      </c>
      <c r="R120" s="14">
        <f>4.8*(tblCalidadCalculada[[#This Row],[Biomasa informada enlazada (kg MS/ha)]]/1000)^(-0.32)</f>
        <v/>
      </c>
      <c r="S120" s="14">
        <f>tblCalidadCalculada[[#This Row],[Nitrógeno efectivo (%)]]/tblCalidadCalculada[[#This Row],[Concentración crítica de nitrógeno (%)]]</f>
        <v/>
      </c>
      <c r="T120" s="6" t="inlineStr">
        <is>
          <t>from_measured_quality</t>
        </is>
      </c>
    </row>
    <row r="121">
      <c r="A121" s="12" t="n">
        <v>117</v>
      </c>
      <c r="B121" s="13">
        <f>INDEX(tblCalidadRegistrada[Fecha],MATCH(tblCalidadCalculada[[#This Row],[Muestra]],tblCalidadRegistrada[Muestra],0))</f>
        <v/>
      </c>
      <c r="C121" s="6">
        <f>INDEX(tblCalidadRegistrada[Sector hídrico],MATCH(tblCalidadCalculada[[#This Row],[Muestra]],tblCalidadRegistrada[Muestra],0))</f>
        <v/>
      </c>
      <c r="D121" s="6">
        <f>INDEX(tblCalidadRegistrada[Tratamiento],MATCH(tblCalidadCalculada[[#This Row],[Muestra]],tblCalidadRegistrada[Muestra],0))</f>
        <v/>
      </c>
      <c r="E121" s="6">
        <f>INDEX(tblCalidadRegistrada[Bloque],MATCH(tblCalidadCalculada[[#This Row],[Muestra]],tblCalidadRegistrada[Muestra],0))</f>
        <v/>
      </c>
      <c r="F121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21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21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21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21" s="6">
        <f>INDEX(tblCalidadRegistrada[Estado de la medición],MATCH(tblCalidadCalculada[[#This Row],[Muestra]],tblCalidadRegistrada[Muestra],0))</f>
        <v/>
      </c>
      <c r="K121" s="6">
        <f>INDEX(tblCalidadRegistrada[Origen del dato],MATCH(tblCalidadCalculada[[#This Row],[Muestra]],tblCalidadRegistrada[Muestra],0))</f>
        <v/>
      </c>
      <c r="L121" s="14">
        <f>INDEX(tblMSCalculada[Biomasa informada en el libro histórico (kg MS/ha)],MATCH(tblCalidadCalculada[[#This Row],[Muestra]],tblMSCalculada[Muestra],0))</f>
        <v/>
      </c>
      <c r="M121" s="14">
        <f>IF(tblCalidadCalculada[[#This Row],[Nitrógeno medido (%)]]="",tblCalidadCalculada[[#This Row],[Nitrógeno estimado (%)]],tblCalidadCalculada[[#This Row],[Nitrógeno medido (%)]])</f>
        <v/>
      </c>
      <c r="N121" s="14">
        <f>IF(tblCalidadCalculada[[#This Row],[Estado de la medición]]="estimated",INDEX(tblCalidadFaltante[Nitrógeno estimado (%)],MATCH(tblCalidadCalculada[[#This Row],[Muestra]],tblCalidadFaltante[Muestra],0)),"")</f>
        <v/>
      </c>
      <c r="O121" s="14">
        <f>IF(tblCalidadCalculada[[#This Row],[Estado de la medición]]="estimated",INDEX(tblCalidadFaltante[FDA estimada (%)],MATCH(tblCalidadCalculada[[#This Row],[Muestra]],tblCalidadFaltante[Muestra],0)),"")</f>
        <v/>
      </c>
      <c r="P121" s="14">
        <f>IF(tblCalidadCalculada[[#This Row],[Estado de la medición]]="estimated",INDEX(tblCalidadFaltante[FDN estimada (%)],MATCH(tblCalidadCalculada[[#This Row],[Muestra]],tblCalidadFaltante[Muestra],0)),"")</f>
        <v/>
      </c>
      <c r="Q121" s="14">
        <f>tblCalidadCalculada[[#This Row],[Biomasa informada enlazada (kg MS/ha)]]*tblCalidadCalculada[[#This Row],[Nitrógeno efectivo (%)]]/100</f>
        <v/>
      </c>
      <c r="R121" s="14">
        <f>4.8*(tblCalidadCalculada[[#This Row],[Biomasa informada enlazada (kg MS/ha)]]/1000)^(-0.32)</f>
        <v/>
      </c>
      <c r="S121" s="14">
        <f>tblCalidadCalculada[[#This Row],[Nitrógeno efectivo (%)]]/tblCalidadCalculada[[#This Row],[Concentración crítica de nitrógeno (%)]]</f>
        <v/>
      </c>
      <c r="T121" s="6" t="inlineStr">
        <is>
          <t>from_measured_quality</t>
        </is>
      </c>
    </row>
    <row r="122">
      <c r="A122" s="12" t="n">
        <v>118</v>
      </c>
      <c r="B122" s="13">
        <f>INDEX(tblCalidadRegistrada[Fecha],MATCH(tblCalidadCalculada[[#This Row],[Muestra]],tblCalidadRegistrada[Muestra],0))</f>
        <v/>
      </c>
      <c r="C122" s="6">
        <f>INDEX(tblCalidadRegistrada[Sector hídrico],MATCH(tblCalidadCalculada[[#This Row],[Muestra]],tblCalidadRegistrada[Muestra],0))</f>
        <v/>
      </c>
      <c r="D122" s="6">
        <f>INDEX(tblCalidadRegistrada[Tratamiento],MATCH(tblCalidadCalculada[[#This Row],[Muestra]],tblCalidadRegistrada[Muestra],0))</f>
        <v/>
      </c>
      <c r="E122" s="6">
        <f>INDEX(tblCalidadRegistrada[Bloque],MATCH(tblCalidadCalculada[[#This Row],[Muestra]],tblCalidadRegistrada[Muestra],0))</f>
        <v/>
      </c>
      <c r="F122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22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22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22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22" s="6">
        <f>INDEX(tblCalidadRegistrada[Estado de la medición],MATCH(tblCalidadCalculada[[#This Row],[Muestra]],tblCalidadRegistrada[Muestra],0))</f>
        <v/>
      </c>
      <c r="K122" s="6">
        <f>INDEX(tblCalidadRegistrada[Origen del dato],MATCH(tblCalidadCalculada[[#This Row],[Muestra]],tblCalidadRegistrada[Muestra],0))</f>
        <v/>
      </c>
      <c r="L122" s="14">
        <f>INDEX(tblMSCalculada[Biomasa informada en el libro histórico (kg MS/ha)],MATCH(tblCalidadCalculada[[#This Row],[Muestra]],tblMSCalculada[Muestra],0))</f>
        <v/>
      </c>
      <c r="M122" s="14">
        <f>IF(tblCalidadCalculada[[#This Row],[Nitrógeno medido (%)]]="",tblCalidadCalculada[[#This Row],[Nitrógeno estimado (%)]],tblCalidadCalculada[[#This Row],[Nitrógeno medido (%)]])</f>
        <v/>
      </c>
      <c r="N122" s="14">
        <f>IF(tblCalidadCalculada[[#This Row],[Estado de la medición]]="estimated",INDEX(tblCalidadFaltante[Nitrógeno estimado (%)],MATCH(tblCalidadCalculada[[#This Row],[Muestra]],tblCalidadFaltante[Muestra],0)),"")</f>
        <v/>
      </c>
      <c r="O122" s="14">
        <f>IF(tblCalidadCalculada[[#This Row],[Estado de la medición]]="estimated",INDEX(tblCalidadFaltante[FDA estimada (%)],MATCH(tblCalidadCalculada[[#This Row],[Muestra]],tblCalidadFaltante[Muestra],0)),"")</f>
        <v/>
      </c>
      <c r="P122" s="14">
        <f>IF(tblCalidadCalculada[[#This Row],[Estado de la medición]]="estimated",INDEX(tblCalidadFaltante[FDN estimada (%)],MATCH(tblCalidadCalculada[[#This Row],[Muestra]],tblCalidadFaltante[Muestra],0)),"")</f>
        <v/>
      </c>
      <c r="Q122" s="14">
        <f>tblCalidadCalculada[[#This Row],[Biomasa informada enlazada (kg MS/ha)]]*tblCalidadCalculada[[#This Row],[Nitrógeno efectivo (%)]]/100</f>
        <v/>
      </c>
      <c r="R122" s="14">
        <f>4.8*(tblCalidadCalculada[[#This Row],[Biomasa informada enlazada (kg MS/ha)]]/1000)^(-0.32)</f>
        <v/>
      </c>
      <c r="S122" s="14">
        <f>tblCalidadCalculada[[#This Row],[Nitrógeno efectivo (%)]]/tblCalidadCalculada[[#This Row],[Concentración crítica de nitrógeno (%)]]</f>
        <v/>
      </c>
      <c r="T122" s="6" t="inlineStr">
        <is>
          <t>from_measured_quality</t>
        </is>
      </c>
    </row>
    <row r="123">
      <c r="A123" s="12" t="n">
        <v>119</v>
      </c>
      <c r="B123" s="13">
        <f>INDEX(tblCalidadRegistrada[Fecha],MATCH(tblCalidadCalculada[[#This Row],[Muestra]],tblCalidadRegistrada[Muestra],0))</f>
        <v/>
      </c>
      <c r="C123" s="6">
        <f>INDEX(tblCalidadRegistrada[Sector hídrico],MATCH(tblCalidadCalculada[[#This Row],[Muestra]],tblCalidadRegistrada[Muestra],0))</f>
        <v/>
      </c>
      <c r="D123" s="6">
        <f>INDEX(tblCalidadRegistrada[Tratamiento],MATCH(tblCalidadCalculada[[#This Row],[Muestra]],tblCalidadRegistrada[Muestra],0))</f>
        <v/>
      </c>
      <c r="E123" s="6">
        <f>INDEX(tblCalidadRegistrada[Bloque],MATCH(tblCalidadCalculada[[#This Row],[Muestra]],tblCalidadRegistrada[Muestra],0))</f>
        <v/>
      </c>
      <c r="F123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23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23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23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23" s="6">
        <f>INDEX(tblCalidadRegistrada[Estado de la medición],MATCH(tblCalidadCalculada[[#This Row],[Muestra]],tblCalidadRegistrada[Muestra],0))</f>
        <v/>
      </c>
      <c r="K123" s="6">
        <f>INDEX(tblCalidadRegistrada[Origen del dato],MATCH(tblCalidadCalculada[[#This Row],[Muestra]],tblCalidadRegistrada[Muestra],0))</f>
        <v/>
      </c>
      <c r="L123" s="14">
        <f>INDEX(tblMSCalculada[Biomasa informada en el libro histórico (kg MS/ha)],MATCH(tblCalidadCalculada[[#This Row],[Muestra]],tblMSCalculada[Muestra],0))</f>
        <v/>
      </c>
      <c r="M123" s="14">
        <f>IF(tblCalidadCalculada[[#This Row],[Nitrógeno medido (%)]]="",tblCalidadCalculada[[#This Row],[Nitrógeno estimado (%)]],tblCalidadCalculada[[#This Row],[Nitrógeno medido (%)]])</f>
        <v/>
      </c>
      <c r="N123" s="14">
        <f>IF(tblCalidadCalculada[[#This Row],[Estado de la medición]]="estimated",INDEX(tblCalidadFaltante[Nitrógeno estimado (%)],MATCH(tblCalidadCalculada[[#This Row],[Muestra]],tblCalidadFaltante[Muestra],0)),"")</f>
        <v/>
      </c>
      <c r="O123" s="14">
        <f>IF(tblCalidadCalculada[[#This Row],[Estado de la medición]]="estimated",INDEX(tblCalidadFaltante[FDA estimada (%)],MATCH(tblCalidadCalculada[[#This Row],[Muestra]],tblCalidadFaltante[Muestra],0)),"")</f>
        <v/>
      </c>
      <c r="P123" s="14">
        <f>IF(tblCalidadCalculada[[#This Row],[Estado de la medición]]="estimated",INDEX(tblCalidadFaltante[FDN estimada (%)],MATCH(tblCalidadCalculada[[#This Row],[Muestra]],tblCalidadFaltante[Muestra],0)),"")</f>
        <v/>
      </c>
      <c r="Q123" s="14">
        <f>tblCalidadCalculada[[#This Row],[Biomasa informada enlazada (kg MS/ha)]]*tblCalidadCalculada[[#This Row],[Nitrógeno efectivo (%)]]/100</f>
        <v/>
      </c>
      <c r="R123" s="14">
        <f>4.8*(tblCalidadCalculada[[#This Row],[Biomasa informada enlazada (kg MS/ha)]]/1000)^(-0.32)</f>
        <v/>
      </c>
      <c r="S123" s="14">
        <f>tblCalidadCalculada[[#This Row],[Nitrógeno efectivo (%)]]/tblCalidadCalculada[[#This Row],[Concentración crítica de nitrógeno (%)]]</f>
        <v/>
      </c>
      <c r="T123" s="6" t="inlineStr">
        <is>
          <t>from_measured_quality</t>
        </is>
      </c>
    </row>
    <row r="124">
      <c r="A124" s="12" t="n">
        <v>120</v>
      </c>
      <c r="B124" s="13">
        <f>INDEX(tblCalidadRegistrada[Fecha],MATCH(tblCalidadCalculada[[#This Row],[Muestra]],tblCalidadRegistrada[Muestra],0))</f>
        <v/>
      </c>
      <c r="C124" s="6">
        <f>INDEX(tblCalidadRegistrada[Sector hídrico],MATCH(tblCalidadCalculada[[#This Row],[Muestra]],tblCalidadRegistrada[Muestra],0))</f>
        <v/>
      </c>
      <c r="D124" s="6">
        <f>INDEX(tblCalidadRegistrada[Tratamiento],MATCH(tblCalidadCalculada[[#This Row],[Muestra]],tblCalidadRegistrada[Muestra],0))</f>
        <v/>
      </c>
      <c r="E124" s="6">
        <f>INDEX(tblCalidadRegistrada[Bloque],MATCH(tblCalidadCalculada[[#This Row],[Muestra]],tblCalidadRegistrada[Muestra],0))</f>
        <v/>
      </c>
      <c r="F124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24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24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24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24" s="6">
        <f>INDEX(tblCalidadRegistrada[Estado de la medición],MATCH(tblCalidadCalculada[[#This Row],[Muestra]],tblCalidadRegistrada[Muestra],0))</f>
        <v/>
      </c>
      <c r="K124" s="6">
        <f>INDEX(tblCalidadRegistrada[Origen del dato],MATCH(tblCalidadCalculada[[#This Row],[Muestra]],tblCalidadRegistrada[Muestra],0))</f>
        <v/>
      </c>
      <c r="L124" s="14">
        <f>INDEX(tblMSCalculada[Biomasa informada en el libro histórico (kg MS/ha)],MATCH(tblCalidadCalculada[[#This Row],[Muestra]],tblMSCalculada[Muestra],0))</f>
        <v/>
      </c>
      <c r="M124" s="14">
        <f>IF(tblCalidadCalculada[[#This Row],[Nitrógeno medido (%)]]="",tblCalidadCalculada[[#This Row],[Nitrógeno estimado (%)]],tblCalidadCalculada[[#This Row],[Nitrógeno medido (%)]])</f>
        <v/>
      </c>
      <c r="N124" s="14">
        <f>IF(tblCalidadCalculada[[#This Row],[Estado de la medición]]="estimated",INDEX(tblCalidadFaltante[Nitrógeno estimado (%)],MATCH(tblCalidadCalculada[[#This Row],[Muestra]],tblCalidadFaltante[Muestra],0)),"")</f>
        <v/>
      </c>
      <c r="O124" s="14">
        <f>IF(tblCalidadCalculada[[#This Row],[Estado de la medición]]="estimated",INDEX(tblCalidadFaltante[FDA estimada (%)],MATCH(tblCalidadCalculada[[#This Row],[Muestra]],tblCalidadFaltante[Muestra],0)),"")</f>
        <v/>
      </c>
      <c r="P124" s="14">
        <f>IF(tblCalidadCalculada[[#This Row],[Estado de la medición]]="estimated",INDEX(tblCalidadFaltante[FDN estimada (%)],MATCH(tblCalidadCalculada[[#This Row],[Muestra]],tblCalidadFaltante[Muestra],0)),"")</f>
        <v/>
      </c>
      <c r="Q124" s="14">
        <f>tblCalidadCalculada[[#This Row],[Biomasa informada enlazada (kg MS/ha)]]*tblCalidadCalculada[[#This Row],[Nitrógeno efectivo (%)]]/100</f>
        <v/>
      </c>
      <c r="R124" s="14">
        <f>4.8*(tblCalidadCalculada[[#This Row],[Biomasa informada enlazada (kg MS/ha)]]/1000)^(-0.32)</f>
        <v/>
      </c>
      <c r="S124" s="14">
        <f>tblCalidadCalculada[[#This Row],[Nitrógeno efectivo (%)]]/tblCalidadCalculada[[#This Row],[Concentración crítica de nitrógeno (%)]]</f>
        <v/>
      </c>
      <c r="T124" s="6" t="inlineStr">
        <is>
          <t>from_measured_quality</t>
        </is>
      </c>
    </row>
    <row r="125">
      <c r="A125" s="12" t="n">
        <v>121</v>
      </c>
      <c r="B125" s="13">
        <f>INDEX(tblCalidadRegistrada[Fecha],MATCH(tblCalidadCalculada[[#This Row],[Muestra]],tblCalidadRegistrada[Muestra],0))</f>
        <v/>
      </c>
      <c r="C125" s="6">
        <f>INDEX(tblCalidadRegistrada[Sector hídrico],MATCH(tblCalidadCalculada[[#This Row],[Muestra]],tblCalidadRegistrada[Muestra],0))</f>
        <v/>
      </c>
      <c r="D125" s="6">
        <f>INDEX(tblCalidadRegistrada[Tratamiento],MATCH(tblCalidadCalculada[[#This Row],[Muestra]],tblCalidadRegistrada[Muestra],0))</f>
        <v/>
      </c>
      <c r="E125" s="6">
        <f>INDEX(tblCalidadRegistrada[Bloque],MATCH(tblCalidadCalculada[[#This Row],[Muestra]],tblCalidadRegistrada[Muestra],0))</f>
        <v/>
      </c>
      <c r="F125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25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25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25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25" s="6">
        <f>INDEX(tblCalidadRegistrada[Estado de la medición],MATCH(tblCalidadCalculada[[#This Row],[Muestra]],tblCalidadRegistrada[Muestra],0))</f>
        <v/>
      </c>
      <c r="K125" s="6">
        <f>INDEX(tblCalidadRegistrada[Origen del dato],MATCH(tblCalidadCalculada[[#This Row],[Muestra]],tblCalidadRegistrada[Muestra],0))</f>
        <v/>
      </c>
      <c r="L125" s="14">
        <f>INDEX(tblMSCalculada[Biomasa informada en el libro histórico (kg MS/ha)],MATCH(tblCalidadCalculada[[#This Row],[Muestra]],tblMSCalculada[Muestra],0))</f>
        <v/>
      </c>
      <c r="M125" s="14">
        <f>IF(tblCalidadCalculada[[#This Row],[Nitrógeno medido (%)]]="",tblCalidadCalculada[[#This Row],[Nitrógeno estimado (%)]],tblCalidadCalculada[[#This Row],[Nitrógeno medido (%)]])</f>
        <v/>
      </c>
      <c r="N125" s="14">
        <f>IF(tblCalidadCalculada[[#This Row],[Estado de la medición]]="estimated",INDEX(tblCalidadFaltante[Nitrógeno estimado (%)],MATCH(tblCalidadCalculada[[#This Row],[Muestra]],tblCalidadFaltante[Muestra],0)),"")</f>
        <v/>
      </c>
      <c r="O125" s="14">
        <f>IF(tblCalidadCalculada[[#This Row],[Estado de la medición]]="estimated",INDEX(tblCalidadFaltante[FDA estimada (%)],MATCH(tblCalidadCalculada[[#This Row],[Muestra]],tblCalidadFaltante[Muestra],0)),"")</f>
        <v/>
      </c>
      <c r="P125" s="14">
        <f>IF(tblCalidadCalculada[[#This Row],[Estado de la medición]]="estimated",INDEX(tblCalidadFaltante[FDN estimada (%)],MATCH(tblCalidadCalculada[[#This Row],[Muestra]],tblCalidadFaltante[Muestra],0)),"")</f>
        <v/>
      </c>
      <c r="Q125" s="14">
        <f>tblCalidadCalculada[[#This Row],[Biomasa informada enlazada (kg MS/ha)]]*tblCalidadCalculada[[#This Row],[Nitrógeno efectivo (%)]]/100</f>
        <v/>
      </c>
      <c r="R125" s="14">
        <f>4.8*(tblCalidadCalculada[[#This Row],[Biomasa informada enlazada (kg MS/ha)]]/1000)^(-0.32)</f>
        <v/>
      </c>
      <c r="S125" s="14">
        <f>tblCalidadCalculada[[#This Row],[Nitrógeno efectivo (%)]]/tblCalidadCalculada[[#This Row],[Concentración crítica de nitrógeno (%)]]</f>
        <v/>
      </c>
      <c r="T125" s="6" t="inlineStr">
        <is>
          <t>from_measured_quality</t>
        </is>
      </c>
    </row>
    <row r="126">
      <c r="A126" s="12" t="n">
        <v>122</v>
      </c>
      <c r="B126" s="13">
        <f>INDEX(tblCalidadRegistrada[Fecha],MATCH(tblCalidadCalculada[[#This Row],[Muestra]],tblCalidadRegistrada[Muestra],0))</f>
        <v/>
      </c>
      <c r="C126" s="6">
        <f>INDEX(tblCalidadRegistrada[Sector hídrico],MATCH(tblCalidadCalculada[[#This Row],[Muestra]],tblCalidadRegistrada[Muestra],0))</f>
        <v/>
      </c>
      <c r="D126" s="6">
        <f>INDEX(tblCalidadRegistrada[Tratamiento],MATCH(tblCalidadCalculada[[#This Row],[Muestra]],tblCalidadRegistrada[Muestra],0))</f>
        <v/>
      </c>
      <c r="E126" s="6">
        <f>INDEX(tblCalidadRegistrada[Bloque],MATCH(tblCalidadCalculada[[#This Row],[Muestra]],tblCalidadRegistrada[Muestra],0))</f>
        <v/>
      </c>
      <c r="F126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26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26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26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26" s="6">
        <f>INDEX(tblCalidadRegistrada[Estado de la medición],MATCH(tblCalidadCalculada[[#This Row],[Muestra]],tblCalidadRegistrada[Muestra],0))</f>
        <v/>
      </c>
      <c r="K126" s="6">
        <f>INDEX(tblCalidadRegistrada[Origen del dato],MATCH(tblCalidadCalculada[[#This Row],[Muestra]],tblCalidadRegistrada[Muestra],0))</f>
        <v/>
      </c>
      <c r="L126" s="14">
        <f>INDEX(tblMSCalculada[Biomasa informada en el libro histórico (kg MS/ha)],MATCH(tblCalidadCalculada[[#This Row],[Muestra]],tblMSCalculada[Muestra],0))</f>
        <v/>
      </c>
      <c r="M126" s="14">
        <f>IF(tblCalidadCalculada[[#This Row],[Nitrógeno medido (%)]]="",tblCalidadCalculada[[#This Row],[Nitrógeno estimado (%)]],tblCalidadCalculada[[#This Row],[Nitrógeno medido (%)]])</f>
        <v/>
      </c>
      <c r="N126" s="14">
        <f>IF(tblCalidadCalculada[[#This Row],[Estado de la medición]]="estimated",INDEX(tblCalidadFaltante[Nitrógeno estimado (%)],MATCH(tblCalidadCalculada[[#This Row],[Muestra]],tblCalidadFaltante[Muestra],0)),"")</f>
        <v/>
      </c>
      <c r="O126" s="14">
        <f>IF(tblCalidadCalculada[[#This Row],[Estado de la medición]]="estimated",INDEX(tblCalidadFaltante[FDA estimada (%)],MATCH(tblCalidadCalculada[[#This Row],[Muestra]],tblCalidadFaltante[Muestra],0)),"")</f>
        <v/>
      </c>
      <c r="P126" s="14">
        <f>IF(tblCalidadCalculada[[#This Row],[Estado de la medición]]="estimated",INDEX(tblCalidadFaltante[FDN estimada (%)],MATCH(tblCalidadCalculada[[#This Row],[Muestra]],tblCalidadFaltante[Muestra],0)),"")</f>
        <v/>
      </c>
      <c r="Q126" s="14">
        <f>tblCalidadCalculada[[#This Row],[Biomasa informada enlazada (kg MS/ha)]]*tblCalidadCalculada[[#This Row],[Nitrógeno efectivo (%)]]/100</f>
        <v/>
      </c>
      <c r="R126" s="14">
        <f>4.8*(tblCalidadCalculada[[#This Row],[Biomasa informada enlazada (kg MS/ha)]]/1000)^(-0.32)</f>
        <v/>
      </c>
      <c r="S126" s="14">
        <f>tblCalidadCalculada[[#This Row],[Nitrógeno efectivo (%)]]/tblCalidadCalculada[[#This Row],[Concentración crítica de nitrógeno (%)]]</f>
        <v/>
      </c>
      <c r="T126" s="6" t="inlineStr">
        <is>
          <t>from_measured_quality</t>
        </is>
      </c>
    </row>
    <row r="127">
      <c r="A127" s="12" t="n">
        <v>123</v>
      </c>
      <c r="B127" s="13">
        <f>INDEX(tblCalidadRegistrada[Fecha],MATCH(tblCalidadCalculada[[#This Row],[Muestra]],tblCalidadRegistrada[Muestra],0))</f>
        <v/>
      </c>
      <c r="C127" s="6">
        <f>INDEX(tblCalidadRegistrada[Sector hídrico],MATCH(tblCalidadCalculada[[#This Row],[Muestra]],tblCalidadRegistrada[Muestra],0))</f>
        <v/>
      </c>
      <c r="D127" s="6">
        <f>INDEX(tblCalidadRegistrada[Tratamiento],MATCH(tblCalidadCalculada[[#This Row],[Muestra]],tblCalidadRegistrada[Muestra],0))</f>
        <v/>
      </c>
      <c r="E127" s="6">
        <f>INDEX(tblCalidadRegistrada[Bloque],MATCH(tblCalidadCalculada[[#This Row],[Muestra]],tblCalidadRegistrada[Muestra],0))</f>
        <v/>
      </c>
      <c r="F127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27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27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27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27" s="6">
        <f>INDEX(tblCalidadRegistrada[Estado de la medición],MATCH(tblCalidadCalculada[[#This Row],[Muestra]],tblCalidadRegistrada[Muestra],0))</f>
        <v/>
      </c>
      <c r="K127" s="6">
        <f>INDEX(tblCalidadRegistrada[Origen del dato],MATCH(tblCalidadCalculada[[#This Row],[Muestra]],tblCalidadRegistrada[Muestra],0))</f>
        <v/>
      </c>
      <c r="L127" s="14">
        <f>INDEX(tblMSCalculada[Biomasa informada en el libro histórico (kg MS/ha)],MATCH(tblCalidadCalculada[[#This Row],[Muestra]],tblMSCalculada[Muestra],0))</f>
        <v/>
      </c>
      <c r="M127" s="14">
        <f>IF(tblCalidadCalculada[[#This Row],[Nitrógeno medido (%)]]="",tblCalidadCalculada[[#This Row],[Nitrógeno estimado (%)]],tblCalidadCalculada[[#This Row],[Nitrógeno medido (%)]])</f>
        <v/>
      </c>
      <c r="N127" s="14">
        <f>IF(tblCalidadCalculada[[#This Row],[Estado de la medición]]="estimated",INDEX(tblCalidadFaltante[Nitrógeno estimado (%)],MATCH(tblCalidadCalculada[[#This Row],[Muestra]],tblCalidadFaltante[Muestra],0)),"")</f>
        <v/>
      </c>
      <c r="O127" s="14">
        <f>IF(tblCalidadCalculada[[#This Row],[Estado de la medición]]="estimated",INDEX(tblCalidadFaltante[FDA estimada (%)],MATCH(tblCalidadCalculada[[#This Row],[Muestra]],tblCalidadFaltante[Muestra],0)),"")</f>
        <v/>
      </c>
      <c r="P127" s="14">
        <f>IF(tblCalidadCalculada[[#This Row],[Estado de la medición]]="estimated",INDEX(tblCalidadFaltante[FDN estimada (%)],MATCH(tblCalidadCalculada[[#This Row],[Muestra]],tblCalidadFaltante[Muestra],0)),"")</f>
        <v/>
      </c>
      <c r="Q127" s="14">
        <f>tblCalidadCalculada[[#This Row],[Biomasa informada enlazada (kg MS/ha)]]*tblCalidadCalculada[[#This Row],[Nitrógeno efectivo (%)]]/100</f>
        <v/>
      </c>
      <c r="R127" s="14">
        <f>4.8*(tblCalidadCalculada[[#This Row],[Biomasa informada enlazada (kg MS/ha)]]/1000)^(-0.32)</f>
        <v/>
      </c>
      <c r="S127" s="14">
        <f>tblCalidadCalculada[[#This Row],[Nitrógeno efectivo (%)]]/tblCalidadCalculada[[#This Row],[Concentración crítica de nitrógeno (%)]]</f>
        <v/>
      </c>
      <c r="T127" s="6" t="inlineStr">
        <is>
          <t>from_measured_quality</t>
        </is>
      </c>
    </row>
    <row r="128">
      <c r="A128" s="12" t="n">
        <v>124</v>
      </c>
      <c r="B128" s="13">
        <f>INDEX(tblCalidadRegistrada[Fecha],MATCH(tblCalidadCalculada[[#This Row],[Muestra]],tblCalidadRegistrada[Muestra],0))</f>
        <v/>
      </c>
      <c r="C128" s="6">
        <f>INDEX(tblCalidadRegistrada[Sector hídrico],MATCH(tblCalidadCalculada[[#This Row],[Muestra]],tblCalidadRegistrada[Muestra],0))</f>
        <v/>
      </c>
      <c r="D128" s="6">
        <f>INDEX(tblCalidadRegistrada[Tratamiento],MATCH(tblCalidadCalculada[[#This Row],[Muestra]],tblCalidadRegistrada[Muestra],0))</f>
        <v/>
      </c>
      <c r="E128" s="6">
        <f>INDEX(tblCalidadRegistrada[Bloque],MATCH(tblCalidadCalculada[[#This Row],[Muestra]],tblCalidadRegistrada[Muestra],0))</f>
        <v/>
      </c>
      <c r="F128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28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28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28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28" s="6">
        <f>INDEX(tblCalidadRegistrada[Estado de la medición],MATCH(tblCalidadCalculada[[#This Row],[Muestra]],tblCalidadRegistrada[Muestra],0))</f>
        <v/>
      </c>
      <c r="K128" s="6">
        <f>INDEX(tblCalidadRegistrada[Origen del dato],MATCH(tblCalidadCalculada[[#This Row],[Muestra]],tblCalidadRegistrada[Muestra],0))</f>
        <v/>
      </c>
      <c r="L128" s="14">
        <f>INDEX(tblMSCalculada[Biomasa informada en el libro histórico (kg MS/ha)],MATCH(tblCalidadCalculada[[#This Row],[Muestra]],tblMSCalculada[Muestra],0))</f>
        <v/>
      </c>
      <c r="M128" s="14">
        <f>IF(tblCalidadCalculada[[#This Row],[Nitrógeno medido (%)]]="",tblCalidadCalculada[[#This Row],[Nitrógeno estimado (%)]],tblCalidadCalculada[[#This Row],[Nitrógeno medido (%)]])</f>
        <v/>
      </c>
      <c r="N128" s="14">
        <f>IF(tblCalidadCalculada[[#This Row],[Estado de la medición]]="estimated",INDEX(tblCalidadFaltante[Nitrógeno estimado (%)],MATCH(tblCalidadCalculada[[#This Row],[Muestra]],tblCalidadFaltante[Muestra],0)),"")</f>
        <v/>
      </c>
      <c r="O128" s="14">
        <f>IF(tblCalidadCalculada[[#This Row],[Estado de la medición]]="estimated",INDEX(tblCalidadFaltante[FDA estimada (%)],MATCH(tblCalidadCalculada[[#This Row],[Muestra]],tblCalidadFaltante[Muestra],0)),"")</f>
        <v/>
      </c>
      <c r="P128" s="14">
        <f>IF(tblCalidadCalculada[[#This Row],[Estado de la medición]]="estimated",INDEX(tblCalidadFaltante[FDN estimada (%)],MATCH(tblCalidadCalculada[[#This Row],[Muestra]],tblCalidadFaltante[Muestra],0)),"")</f>
        <v/>
      </c>
      <c r="Q128" s="14">
        <f>tblCalidadCalculada[[#This Row],[Biomasa informada enlazada (kg MS/ha)]]*tblCalidadCalculada[[#This Row],[Nitrógeno efectivo (%)]]/100</f>
        <v/>
      </c>
      <c r="R128" s="14">
        <f>4.8*(tblCalidadCalculada[[#This Row],[Biomasa informada enlazada (kg MS/ha)]]/1000)^(-0.32)</f>
        <v/>
      </c>
      <c r="S128" s="14">
        <f>tblCalidadCalculada[[#This Row],[Nitrógeno efectivo (%)]]/tblCalidadCalculada[[#This Row],[Concentración crítica de nitrógeno (%)]]</f>
        <v/>
      </c>
      <c r="T128" s="6" t="inlineStr">
        <is>
          <t>from_measured_quality</t>
        </is>
      </c>
    </row>
    <row r="129">
      <c r="A129" s="12" t="n">
        <v>125</v>
      </c>
      <c r="B129" s="13">
        <f>INDEX(tblCalidadRegistrada[Fecha],MATCH(tblCalidadCalculada[[#This Row],[Muestra]],tblCalidadRegistrada[Muestra],0))</f>
        <v/>
      </c>
      <c r="C129" s="6">
        <f>INDEX(tblCalidadRegistrada[Sector hídrico],MATCH(tblCalidadCalculada[[#This Row],[Muestra]],tblCalidadRegistrada[Muestra],0))</f>
        <v/>
      </c>
      <c r="D129" s="6">
        <f>INDEX(tblCalidadRegistrada[Tratamiento],MATCH(tblCalidadCalculada[[#This Row],[Muestra]],tblCalidadRegistrada[Muestra],0))</f>
        <v/>
      </c>
      <c r="E129" s="6">
        <f>INDEX(tblCalidadRegistrada[Bloque],MATCH(tblCalidadCalculada[[#This Row],[Muestra]],tblCalidadRegistrada[Muestra],0))</f>
        <v/>
      </c>
      <c r="F129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29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29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29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29" s="6">
        <f>INDEX(tblCalidadRegistrada[Estado de la medición],MATCH(tblCalidadCalculada[[#This Row],[Muestra]],tblCalidadRegistrada[Muestra],0))</f>
        <v/>
      </c>
      <c r="K129" s="6">
        <f>INDEX(tblCalidadRegistrada[Origen del dato],MATCH(tblCalidadCalculada[[#This Row],[Muestra]],tblCalidadRegistrada[Muestra],0))</f>
        <v/>
      </c>
      <c r="L129" s="14">
        <f>INDEX(tblMSCalculada[Biomasa informada en el libro histórico (kg MS/ha)],MATCH(tblCalidadCalculada[[#This Row],[Muestra]],tblMSCalculada[Muestra],0))</f>
        <v/>
      </c>
      <c r="M129" s="14">
        <f>IF(tblCalidadCalculada[[#This Row],[Nitrógeno medido (%)]]="",tblCalidadCalculada[[#This Row],[Nitrógeno estimado (%)]],tblCalidadCalculada[[#This Row],[Nitrógeno medido (%)]])</f>
        <v/>
      </c>
      <c r="N129" s="14">
        <f>IF(tblCalidadCalculada[[#This Row],[Estado de la medición]]="estimated",INDEX(tblCalidadFaltante[Nitrógeno estimado (%)],MATCH(tblCalidadCalculada[[#This Row],[Muestra]],tblCalidadFaltante[Muestra],0)),"")</f>
        <v/>
      </c>
      <c r="O129" s="14">
        <f>IF(tblCalidadCalculada[[#This Row],[Estado de la medición]]="estimated",INDEX(tblCalidadFaltante[FDA estimada (%)],MATCH(tblCalidadCalculada[[#This Row],[Muestra]],tblCalidadFaltante[Muestra],0)),"")</f>
        <v/>
      </c>
      <c r="P129" s="14">
        <f>IF(tblCalidadCalculada[[#This Row],[Estado de la medición]]="estimated",INDEX(tblCalidadFaltante[FDN estimada (%)],MATCH(tblCalidadCalculada[[#This Row],[Muestra]],tblCalidadFaltante[Muestra],0)),"")</f>
        <v/>
      </c>
      <c r="Q129" s="14">
        <f>tblCalidadCalculada[[#This Row],[Biomasa informada enlazada (kg MS/ha)]]*tblCalidadCalculada[[#This Row],[Nitrógeno efectivo (%)]]/100</f>
        <v/>
      </c>
      <c r="R129" s="14">
        <f>4.8*(tblCalidadCalculada[[#This Row],[Biomasa informada enlazada (kg MS/ha)]]/1000)^(-0.32)</f>
        <v/>
      </c>
      <c r="S129" s="14">
        <f>tblCalidadCalculada[[#This Row],[Nitrógeno efectivo (%)]]/tblCalidadCalculada[[#This Row],[Concentración crítica de nitrógeno (%)]]</f>
        <v/>
      </c>
      <c r="T129" s="6" t="inlineStr">
        <is>
          <t>from_measured_quality</t>
        </is>
      </c>
    </row>
    <row r="130">
      <c r="A130" s="12" t="n">
        <v>126</v>
      </c>
      <c r="B130" s="13">
        <f>INDEX(tblCalidadRegistrada[Fecha],MATCH(tblCalidadCalculada[[#This Row],[Muestra]],tblCalidadRegistrada[Muestra],0))</f>
        <v/>
      </c>
      <c r="C130" s="6">
        <f>INDEX(tblCalidadRegistrada[Sector hídrico],MATCH(tblCalidadCalculada[[#This Row],[Muestra]],tblCalidadRegistrada[Muestra],0))</f>
        <v/>
      </c>
      <c r="D130" s="6">
        <f>INDEX(tblCalidadRegistrada[Tratamiento],MATCH(tblCalidadCalculada[[#This Row],[Muestra]],tblCalidadRegistrada[Muestra],0))</f>
        <v/>
      </c>
      <c r="E130" s="6">
        <f>INDEX(tblCalidadRegistrada[Bloque],MATCH(tblCalidadCalculada[[#This Row],[Muestra]],tblCalidadRegistrada[Muestra],0))</f>
        <v/>
      </c>
      <c r="F130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30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30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30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30" s="6">
        <f>INDEX(tblCalidadRegistrada[Estado de la medición],MATCH(tblCalidadCalculada[[#This Row],[Muestra]],tblCalidadRegistrada[Muestra],0))</f>
        <v/>
      </c>
      <c r="K130" s="6">
        <f>INDEX(tblCalidadRegistrada[Origen del dato],MATCH(tblCalidadCalculada[[#This Row],[Muestra]],tblCalidadRegistrada[Muestra],0))</f>
        <v/>
      </c>
      <c r="L130" s="14">
        <f>INDEX(tblMSCalculada[Biomasa informada en el libro histórico (kg MS/ha)],MATCH(tblCalidadCalculada[[#This Row],[Muestra]],tblMSCalculada[Muestra],0))</f>
        <v/>
      </c>
      <c r="M130" s="14">
        <f>IF(tblCalidadCalculada[[#This Row],[Nitrógeno medido (%)]]="",tblCalidadCalculada[[#This Row],[Nitrógeno estimado (%)]],tblCalidadCalculada[[#This Row],[Nitrógeno medido (%)]])</f>
        <v/>
      </c>
      <c r="N130" s="14">
        <f>IF(tblCalidadCalculada[[#This Row],[Estado de la medición]]="estimated",INDEX(tblCalidadFaltante[Nitrógeno estimado (%)],MATCH(tblCalidadCalculada[[#This Row],[Muestra]],tblCalidadFaltante[Muestra],0)),"")</f>
        <v/>
      </c>
      <c r="O130" s="14">
        <f>IF(tblCalidadCalculada[[#This Row],[Estado de la medición]]="estimated",INDEX(tblCalidadFaltante[FDA estimada (%)],MATCH(tblCalidadCalculada[[#This Row],[Muestra]],tblCalidadFaltante[Muestra],0)),"")</f>
        <v/>
      </c>
      <c r="P130" s="14">
        <f>IF(tblCalidadCalculada[[#This Row],[Estado de la medición]]="estimated",INDEX(tblCalidadFaltante[FDN estimada (%)],MATCH(tblCalidadCalculada[[#This Row],[Muestra]],tblCalidadFaltante[Muestra],0)),"")</f>
        <v/>
      </c>
      <c r="Q130" s="14">
        <f>tblCalidadCalculada[[#This Row],[Biomasa informada enlazada (kg MS/ha)]]*tblCalidadCalculada[[#This Row],[Nitrógeno efectivo (%)]]/100</f>
        <v/>
      </c>
      <c r="R130" s="14">
        <f>4.8*(tblCalidadCalculada[[#This Row],[Biomasa informada enlazada (kg MS/ha)]]/1000)^(-0.32)</f>
        <v/>
      </c>
      <c r="S130" s="14">
        <f>tblCalidadCalculada[[#This Row],[Nitrógeno efectivo (%)]]/tblCalidadCalculada[[#This Row],[Concentración crítica de nitrógeno (%)]]</f>
        <v/>
      </c>
      <c r="T130" s="6" t="inlineStr">
        <is>
          <t>from_measured_quality</t>
        </is>
      </c>
    </row>
    <row r="131">
      <c r="A131" s="12" t="n">
        <v>127</v>
      </c>
      <c r="B131" s="13">
        <f>INDEX(tblCalidadRegistrada[Fecha],MATCH(tblCalidadCalculada[[#This Row],[Muestra]],tblCalidadRegistrada[Muestra],0))</f>
        <v/>
      </c>
      <c r="C131" s="6">
        <f>INDEX(tblCalidadRegistrada[Sector hídrico],MATCH(tblCalidadCalculada[[#This Row],[Muestra]],tblCalidadRegistrada[Muestra],0))</f>
        <v/>
      </c>
      <c r="D131" s="6">
        <f>INDEX(tblCalidadRegistrada[Tratamiento],MATCH(tblCalidadCalculada[[#This Row],[Muestra]],tblCalidadRegistrada[Muestra],0))</f>
        <v/>
      </c>
      <c r="E131" s="6">
        <f>INDEX(tblCalidadRegistrada[Bloque],MATCH(tblCalidadCalculada[[#This Row],[Muestra]],tblCalidadRegistrada[Muestra],0))</f>
        <v/>
      </c>
      <c r="F131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31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31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31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31" s="6">
        <f>INDEX(tblCalidadRegistrada[Estado de la medición],MATCH(tblCalidadCalculada[[#This Row],[Muestra]],tblCalidadRegistrada[Muestra],0))</f>
        <v/>
      </c>
      <c r="K131" s="6">
        <f>INDEX(tblCalidadRegistrada[Origen del dato],MATCH(tblCalidadCalculada[[#This Row],[Muestra]],tblCalidadRegistrada[Muestra],0))</f>
        <v/>
      </c>
      <c r="L131" s="14">
        <f>INDEX(tblMSCalculada[Biomasa informada en el libro histórico (kg MS/ha)],MATCH(tblCalidadCalculada[[#This Row],[Muestra]],tblMSCalculada[Muestra],0))</f>
        <v/>
      </c>
      <c r="M131" s="14">
        <f>IF(tblCalidadCalculada[[#This Row],[Nitrógeno medido (%)]]="",tblCalidadCalculada[[#This Row],[Nitrógeno estimado (%)]],tblCalidadCalculada[[#This Row],[Nitrógeno medido (%)]])</f>
        <v/>
      </c>
      <c r="N131" s="14">
        <f>IF(tblCalidadCalculada[[#This Row],[Estado de la medición]]="estimated",INDEX(tblCalidadFaltante[Nitrógeno estimado (%)],MATCH(tblCalidadCalculada[[#This Row],[Muestra]],tblCalidadFaltante[Muestra],0)),"")</f>
        <v/>
      </c>
      <c r="O131" s="14">
        <f>IF(tblCalidadCalculada[[#This Row],[Estado de la medición]]="estimated",INDEX(tblCalidadFaltante[FDA estimada (%)],MATCH(tblCalidadCalculada[[#This Row],[Muestra]],tblCalidadFaltante[Muestra],0)),"")</f>
        <v/>
      </c>
      <c r="P131" s="14">
        <f>IF(tblCalidadCalculada[[#This Row],[Estado de la medición]]="estimated",INDEX(tblCalidadFaltante[FDN estimada (%)],MATCH(tblCalidadCalculada[[#This Row],[Muestra]],tblCalidadFaltante[Muestra],0)),"")</f>
        <v/>
      </c>
      <c r="Q131" s="14">
        <f>tblCalidadCalculada[[#This Row],[Biomasa informada enlazada (kg MS/ha)]]*tblCalidadCalculada[[#This Row],[Nitrógeno efectivo (%)]]/100</f>
        <v/>
      </c>
      <c r="R131" s="14">
        <f>4.8*(tblCalidadCalculada[[#This Row],[Biomasa informada enlazada (kg MS/ha)]]/1000)^(-0.32)</f>
        <v/>
      </c>
      <c r="S131" s="14">
        <f>tblCalidadCalculada[[#This Row],[Nitrógeno efectivo (%)]]/tblCalidadCalculada[[#This Row],[Concentración crítica de nitrógeno (%)]]</f>
        <v/>
      </c>
      <c r="T131" s="6" t="inlineStr">
        <is>
          <t>from_measured_quality</t>
        </is>
      </c>
    </row>
    <row r="132">
      <c r="A132" s="12" t="n">
        <v>128</v>
      </c>
      <c r="B132" s="13">
        <f>INDEX(tblCalidadRegistrada[Fecha],MATCH(tblCalidadCalculada[[#This Row],[Muestra]],tblCalidadRegistrada[Muestra],0))</f>
        <v/>
      </c>
      <c r="C132" s="6">
        <f>INDEX(tblCalidadRegistrada[Sector hídrico],MATCH(tblCalidadCalculada[[#This Row],[Muestra]],tblCalidadRegistrada[Muestra],0))</f>
        <v/>
      </c>
      <c r="D132" s="6">
        <f>INDEX(tblCalidadRegistrada[Tratamiento],MATCH(tblCalidadCalculada[[#This Row],[Muestra]],tblCalidadRegistrada[Muestra],0))</f>
        <v/>
      </c>
      <c r="E132" s="6">
        <f>INDEX(tblCalidadRegistrada[Bloque],MATCH(tblCalidadCalculada[[#This Row],[Muestra]],tblCalidadRegistrada[Muestra],0))</f>
        <v/>
      </c>
      <c r="F132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32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32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32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32" s="6">
        <f>INDEX(tblCalidadRegistrada[Estado de la medición],MATCH(tblCalidadCalculada[[#This Row],[Muestra]],tblCalidadRegistrada[Muestra],0))</f>
        <v/>
      </c>
      <c r="K132" s="6">
        <f>INDEX(tblCalidadRegistrada[Origen del dato],MATCH(tblCalidadCalculada[[#This Row],[Muestra]],tblCalidadRegistrada[Muestra],0))</f>
        <v/>
      </c>
      <c r="L132" s="14">
        <f>INDEX(tblMSCalculada[Biomasa informada en el libro histórico (kg MS/ha)],MATCH(tblCalidadCalculada[[#This Row],[Muestra]],tblMSCalculada[Muestra],0))</f>
        <v/>
      </c>
      <c r="M132" s="14">
        <f>IF(tblCalidadCalculada[[#This Row],[Nitrógeno medido (%)]]="",tblCalidadCalculada[[#This Row],[Nitrógeno estimado (%)]],tblCalidadCalculada[[#This Row],[Nitrógeno medido (%)]])</f>
        <v/>
      </c>
      <c r="N132" s="14">
        <f>IF(tblCalidadCalculada[[#This Row],[Estado de la medición]]="estimated",INDEX(tblCalidadFaltante[Nitrógeno estimado (%)],MATCH(tblCalidadCalculada[[#This Row],[Muestra]],tblCalidadFaltante[Muestra],0)),"")</f>
        <v/>
      </c>
      <c r="O132" s="14">
        <f>IF(tblCalidadCalculada[[#This Row],[Estado de la medición]]="estimated",INDEX(tblCalidadFaltante[FDA estimada (%)],MATCH(tblCalidadCalculada[[#This Row],[Muestra]],tblCalidadFaltante[Muestra],0)),"")</f>
        <v/>
      </c>
      <c r="P132" s="14">
        <f>IF(tblCalidadCalculada[[#This Row],[Estado de la medición]]="estimated",INDEX(tblCalidadFaltante[FDN estimada (%)],MATCH(tblCalidadCalculada[[#This Row],[Muestra]],tblCalidadFaltante[Muestra],0)),"")</f>
        <v/>
      </c>
      <c r="Q132" s="14">
        <f>tblCalidadCalculada[[#This Row],[Biomasa informada enlazada (kg MS/ha)]]*tblCalidadCalculada[[#This Row],[Nitrógeno efectivo (%)]]/100</f>
        <v/>
      </c>
      <c r="R132" s="14">
        <f>4.8*(tblCalidadCalculada[[#This Row],[Biomasa informada enlazada (kg MS/ha)]]/1000)^(-0.32)</f>
        <v/>
      </c>
      <c r="S132" s="14">
        <f>tblCalidadCalculada[[#This Row],[Nitrógeno efectivo (%)]]/tblCalidadCalculada[[#This Row],[Concentración crítica de nitrógeno (%)]]</f>
        <v/>
      </c>
      <c r="T132" s="6" t="inlineStr">
        <is>
          <t>from_measured_quality</t>
        </is>
      </c>
    </row>
    <row r="133">
      <c r="A133" s="12" t="n">
        <v>129</v>
      </c>
      <c r="B133" s="13">
        <f>INDEX(tblCalidadRegistrada[Fecha],MATCH(tblCalidadCalculada[[#This Row],[Muestra]],tblCalidadRegistrada[Muestra],0))</f>
        <v/>
      </c>
      <c r="C133" s="6">
        <f>INDEX(tblCalidadRegistrada[Sector hídrico],MATCH(tblCalidadCalculada[[#This Row],[Muestra]],tblCalidadRegistrada[Muestra],0))</f>
        <v/>
      </c>
      <c r="D133" s="6">
        <f>INDEX(tblCalidadRegistrada[Tratamiento],MATCH(tblCalidadCalculada[[#This Row],[Muestra]],tblCalidadRegistrada[Muestra],0))</f>
        <v/>
      </c>
      <c r="E133" s="6">
        <f>INDEX(tblCalidadRegistrada[Bloque],MATCH(tblCalidadCalculada[[#This Row],[Muestra]],tblCalidadRegistrada[Muestra],0))</f>
        <v/>
      </c>
      <c r="F133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33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33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33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33" s="6">
        <f>INDEX(tblCalidadRegistrada[Estado de la medición],MATCH(tblCalidadCalculada[[#This Row],[Muestra]],tblCalidadRegistrada[Muestra],0))</f>
        <v/>
      </c>
      <c r="K133" s="6">
        <f>INDEX(tblCalidadRegistrada[Origen del dato],MATCH(tblCalidadCalculada[[#This Row],[Muestra]],tblCalidadRegistrada[Muestra],0))</f>
        <v/>
      </c>
      <c r="L133" s="14">
        <f>INDEX(tblMSCalculada[Biomasa informada en el libro histórico (kg MS/ha)],MATCH(tblCalidadCalculada[[#This Row],[Muestra]],tblMSCalculada[Muestra],0))</f>
        <v/>
      </c>
      <c r="M133" s="14">
        <f>IF(tblCalidadCalculada[[#This Row],[Nitrógeno medido (%)]]="",tblCalidadCalculada[[#This Row],[Nitrógeno estimado (%)]],tblCalidadCalculada[[#This Row],[Nitrógeno medido (%)]])</f>
        <v/>
      </c>
      <c r="N133" s="14">
        <f>IF(tblCalidadCalculada[[#This Row],[Estado de la medición]]="estimated",INDEX(tblCalidadFaltante[Nitrógeno estimado (%)],MATCH(tblCalidadCalculada[[#This Row],[Muestra]],tblCalidadFaltante[Muestra],0)),"")</f>
        <v/>
      </c>
      <c r="O133" s="14">
        <f>IF(tblCalidadCalculada[[#This Row],[Estado de la medición]]="estimated",INDEX(tblCalidadFaltante[FDA estimada (%)],MATCH(tblCalidadCalculada[[#This Row],[Muestra]],tblCalidadFaltante[Muestra],0)),"")</f>
        <v/>
      </c>
      <c r="P133" s="14">
        <f>IF(tblCalidadCalculada[[#This Row],[Estado de la medición]]="estimated",INDEX(tblCalidadFaltante[FDN estimada (%)],MATCH(tblCalidadCalculada[[#This Row],[Muestra]],tblCalidadFaltante[Muestra],0)),"")</f>
        <v/>
      </c>
      <c r="Q133" s="14">
        <f>tblCalidadCalculada[[#This Row],[Biomasa informada enlazada (kg MS/ha)]]*tblCalidadCalculada[[#This Row],[Nitrógeno efectivo (%)]]/100</f>
        <v/>
      </c>
      <c r="R133" s="14">
        <f>4.8*(tblCalidadCalculada[[#This Row],[Biomasa informada enlazada (kg MS/ha)]]/1000)^(-0.32)</f>
        <v/>
      </c>
      <c r="S133" s="14">
        <f>tblCalidadCalculada[[#This Row],[Nitrógeno efectivo (%)]]/tblCalidadCalculada[[#This Row],[Concentración crítica de nitrógeno (%)]]</f>
        <v/>
      </c>
      <c r="T133" s="6" t="inlineStr">
        <is>
          <t>from_measured_quality</t>
        </is>
      </c>
    </row>
    <row r="134">
      <c r="A134" s="12" t="n">
        <v>130</v>
      </c>
      <c r="B134" s="13">
        <f>INDEX(tblCalidadRegistrada[Fecha],MATCH(tblCalidadCalculada[[#This Row],[Muestra]],tblCalidadRegistrada[Muestra],0))</f>
        <v/>
      </c>
      <c r="C134" s="6">
        <f>INDEX(tblCalidadRegistrada[Sector hídrico],MATCH(tblCalidadCalculada[[#This Row],[Muestra]],tblCalidadRegistrada[Muestra],0))</f>
        <v/>
      </c>
      <c r="D134" s="6">
        <f>INDEX(tblCalidadRegistrada[Tratamiento],MATCH(tblCalidadCalculada[[#This Row],[Muestra]],tblCalidadRegistrada[Muestra],0))</f>
        <v/>
      </c>
      <c r="E134" s="6">
        <f>INDEX(tblCalidadRegistrada[Bloque],MATCH(tblCalidadCalculada[[#This Row],[Muestra]],tblCalidadRegistrada[Muestra],0))</f>
        <v/>
      </c>
      <c r="F134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34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34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34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34" s="6">
        <f>INDEX(tblCalidadRegistrada[Estado de la medición],MATCH(tblCalidadCalculada[[#This Row],[Muestra]],tblCalidadRegistrada[Muestra],0))</f>
        <v/>
      </c>
      <c r="K134" s="6">
        <f>INDEX(tblCalidadRegistrada[Origen del dato],MATCH(tblCalidadCalculada[[#This Row],[Muestra]],tblCalidadRegistrada[Muestra],0))</f>
        <v/>
      </c>
      <c r="L134" s="14">
        <f>INDEX(tblMSCalculada[Biomasa informada en el libro histórico (kg MS/ha)],MATCH(tblCalidadCalculada[[#This Row],[Muestra]],tblMSCalculada[Muestra],0))</f>
        <v/>
      </c>
      <c r="M134" s="14">
        <f>IF(tblCalidadCalculada[[#This Row],[Nitrógeno medido (%)]]="",tblCalidadCalculada[[#This Row],[Nitrógeno estimado (%)]],tblCalidadCalculada[[#This Row],[Nitrógeno medido (%)]])</f>
        <v/>
      </c>
      <c r="N134" s="14">
        <f>IF(tblCalidadCalculada[[#This Row],[Estado de la medición]]="estimated",INDEX(tblCalidadFaltante[Nitrógeno estimado (%)],MATCH(tblCalidadCalculada[[#This Row],[Muestra]],tblCalidadFaltante[Muestra],0)),"")</f>
        <v/>
      </c>
      <c r="O134" s="14">
        <f>IF(tblCalidadCalculada[[#This Row],[Estado de la medición]]="estimated",INDEX(tblCalidadFaltante[FDA estimada (%)],MATCH(tblCalidadCalculada[[#This Row],[Muestra]],tblCalidadFaltante[Muestra],0)),"")</f>
        <v/>
      </c>
      <c r="P134" s="14">
        <f>IF(tblCalidadCalculada[[#This Row],[Estado de la medición]]="estimated",INDEX(tblCalidadFaltante[FDN estimada (%)],MATCH(tblCalidadCalculada[[#This Row],[Muestra]],tblCalidadFaltante[Muestra],0)),"")</f>
        <v/>
      </c>
      <c r="Q134" s="14">
        <f>tblCalidadCalculada[[#This Row],[Biomasa informada enlazada (kg MS/ha)]]*tblCalidadCalculada[[#This Row],[Nitrógeno efectivo (%)]]/100</f>
        <v/>
      </c>
      <c r="R134" s="14">
        <f>4.8*(tblCalidadCalculada[[#This Row],[Biomasa informada enlazada (kg MS/ha)]]/1000)^(-0.32)</f>
        <v/>
      </c>
      <c r="S134" s="14">
        <f>tblCalidadCalculada[[#This Row],[Nitrógeno efectivo (%)]]/tblCalidadCalculada[[#This Row],[Concentración crítica de nitrógeno (%)]]</f>
        <v/>
      </c>
      <c r="T134" s="6" t="inlineStr">
        <is>
          <t>from_measured_quality</t>
        </is>
      </c>
    </row>
    <row r="135">
      <c r="A135" s="12" t="n">
        <v>131</v>
      </c>
      <c r="B135" s="13">
        <f>INDEX(tblCalidadRegistrada[Fecha],MATCH(tblCalidadCalculada[[#This Row],[Muestra]],tblCalidadRegistrada[Muestra],0))</f>
        <v/>
      </c>
      <c r="C135" s="6">
        <f>INDEX(tblCalidadRegistrada[Sector hídrico],MATCH(tblCalidadCalculada[[#This Row],[Muestra]],tblCalidadRegistrada[Muestra],0))</f>
        <v/>
      </c>
      <c r="D135" s="6">
        <f>INDEX(tblCalidadRegistrada[Tratamiento],MATCH(tblCalidadCalculada[[#This Row],[Muestra]],tblCalidadRegistrada[Muestra],0))</f>
        <v/>
      </c>
      <c r="E135" s="6">
        <f>INDEX(tblCalidadRegistrada[Bloque],MATCH(tblCalidadCalculada[[#This Row],[Muestra]],tblCalidadRegistrada[Muestra],0))</f>
        <v/>
      </c>
      <c r="F135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35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35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35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35" s="6">
        <f>INDEX(tblCalidadRegistrada[Estado de la medición],MATCH(tblCalidadCalculada[[#This Row],[Muestra]],tblCalidadRegistrada[Muestra],0))</f>
        <v/>
      </c>
      <c r="K135" s="6">
        <f>INDEX(tblCalidadRegistrada[Origen del dato],MATCH(tblCalidadCalculada[[#This Row],[Muestra]],tblCalidadRegistrada[Muestra],0))</f>
        <v/>
      </c>
      <c r="L135" s="14">
        <f>INDEX(tblMSCalculada[Biomasa informada en el libro histórico (kg MS/ha)],MATCH(tblCalidadCalculada[[#This Row],[Muestra]],tblMSCalculada[Muestra],0))</f>
        <v/>
      </c>
      <c r="M135" s="14">
        <f>IF(tblCalidadCalculada[[#This Row],[Nitrógeno medido (%)]]="",tblCalidadCalculada[[#This Row],[Nitrógeno estimado (%)]],tblCalidadCalculada[[#This Row],[Nitrógeno medido (%)]])</f>
        <v/>
      </c>
      <c r="N135" s="14">
        <f>IF(tblCalidadCalculada[[#This Row],[Estado de la medición]]="estimated",INDEX(tblCalidadFaltante[Nitrógeno estimado (%)],MATCH(tblCalidadCalculada[[#This Row],[Muestra]],tblCalidadFaltante[Muestra],0)),"")</f>
        <v/>
      </c>
      <c r="O135" s="14">
        <f>IF(tblCalidadCalculada[[#This Row],[Estado de la medición]]="estimated",INDEX(tblCalidadFaltante[FDA estimada (%)],MATCH(tblCalidadCalculada[[#This Row],[Muestra]],tblCalidadFaltante[Muestra],0)),"")</f>
        <v/>
      </c>
      <c r="P135" s="14">
        <f>IF(tblCalidadCalculada[[#This Row],[Estado de la medición]]="estimated",INDEX(tblCalidadFaltante[FDN estimada (%)],MATCH(tblCalidadCalculada[[#This Row],[Muestra]],tblCalidadFaltante[Muestra],0)),"")</f>
        <v/>
      </c>
      <c r="Q135" s="14">
        <f>tblCalidadCalculada[[#This Row],[Biomasa informada enlazada (kg MS/ha)]]*tblCalidadCalculada[[#This Row],[Nitrógeno efectivo (%)]]/100</f>
        <v/>
      </c>
      <c r="R135" s="14">
        <f>4.8*(tblCalidadCalculada[[#This Row],[Biomasa informada enlazada (kg MS/ha)]]/1000)^(-0.32)</f>
        <v/>
      </c>
      <c r="S135" s="14">
        <f>tblCalidadCalculada[[#This Row],[Nitrógeno efectivo (%)]]/tblCalidadCalculada[[#This Row],[Concentración crítica de nitrógeno (%)]]</f>
        <v/>
      </c>
      <c r="T135" s="6" t="inlineStr">
        <is>
          <t>from_measured_quality</t>
        </is>
      </c>
    </row>
    <row r="136">
      <c r="A136" s="12" t="n">
        <v>132</v>
      </c>
      <c r="B136" s="13">
        <f>INDEX(tblCalidadRegistrada[Fecha],MATCH(tblCalidadCalculada[[#This Row],[Muestra]],tblCalidadRegistrada[Muestra],0))</f>
        <v/>
      </c>
      <c r="C136" s="6">
        <f>INDEX(tblCalidadRegistrada[Sector hídrico],MATCH(tblCalidadCalculada[[#This Row],[Muestra]],tblCalidadRegistrada[Muestra],0))</f>
        <v/>
      </c>
      <c r="D136" s="6">
        <f>INDEX(tblCalidadRegistrada[Tratamiento],MATCH(tblCalidadCalculada[[#This Row],[Muestra]],tblCalidadRegistrada[Muestra],0))</f>
        <v/>
      </c>
      <c r="E136" s="6">
        <f>INDEX(tblCalidadRegistrada[Bloque],MATCH(tblCalidadCalculada[[#This Row],[Muestra]],tblCalidadRegistrada[Muestra],0))</f>
        <v/>
      </c>
      <c r="F136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36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36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36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36" s="6">
        <f>INDEX(tblCalidadRegistrada[Estado de la medición],MATCH(tblCalidadCalculada[[#This Row],[Muestra]],tblCalidadRegistrada[Muestra],0))</f>
        <v/>
      </c>
      <c r="K136" s="6">
        <f>INDEX(tblCalidadRegistrada[Origen del dato],MATCH(tblCalidadCalculada[[#This Row],[Muestra]],tblCalidadRegistrada[Muestra],0))</f>
        <v/>
      </c>
      <c r="L136" s="14">
        <f>INDEX(tblMSCalculada[Biomasa informada en el libro histórico (kg MS/ha)],MATCH(tblCalidadCalculada[[#This Row],[Muestra]],tblMSCalculada[Muestra],0))</f>
        <v/>
      </c>
      <c r="M136" s="14">
        <f>IF(tblCalidadCalculada[[#This Row],[Nitrógeno medido (%)]]="",tblCalidadCalculada[[#This Row],[Nitrógeno estimado (%)]],tblCalidadCalculada[[#This Row],[Nitrógeno medido (%)]])</f>
        <v/>
      </c>
      <c r="N136" s="14">
        <f>IF(tblCalidadCalculada[[#This Row],[Estado de la medición]]="estimated",INDEX(tblCalidadFaltante[Nitrógeno estimado (%)],MATCH(tblCalidadCalculada[[#This Row],[Muestra]],tblCalidadFaltante[Muestra],0)),"")</f>
        <v/>
      </c>
      <c r="O136" s="14">
        <f>IF(tblCalidadCalculada[[#This Row],[Estado de la medición]]="estimated",INDEX(tblCalidadFaltante[FDA estimada (%)],MATCH(tblCalidadCalculada[[#This Row],[Muestra]],tblCalidadFaltante[Muestra],0)),"")</f>
        <v/>
      </c>
      <c r="P136" s="14">
        <f>IF(tblCalidadCalculada[[#This Row],[Estado de la medición]]="estimated",INDEX(tblCalidadFaltante[FDN estimada (%)],MATCH(tblCalidadCalculada[[#This Row],[Muestra]],tblCalidadFaltante[Muestra],0)),"")</f>
        <v/>
      </c>
      <c r="Q136" s="14">
        <f>tblCalidadCalculada[[#This Row],[Biomasa informada enlazada (kg MS/ha)]]*tblCalidadCalculada[[#This Row],[Nitrógeno efectivo (%)]]/100</f>
        <v/>
      </c>
      <c r="R136" s="14">
        <f>4.8*(tblCalidadCalculada[[#This Row],[Biomasa informada enlazada (kg MS/ha)]]/1000)^(-0.32)</f>
        <v/>
      </c>
      <c r="S136" s="14">
        <f>tblCalidadCalculada[[#This Row],[Nitrógeno efectivo (%)]]/tblCalidadCalculada[[#This Row],[Concentración crítica de nitrógeno (%)]]</f>
        <v/>
      </c>
      <c r="T136" s="6" t="inlineStr">
        <is>
          <t>from_measured_quality</t>
        </is>
      </c>
    </row>
    <row r="137">
      <c r="A137" s="12" t="n">
        <v>133</v>
      </c>
      <c r="B137" s="13">
        <f>INDEX(tblCalidadRegistrada[Fecha],MATCH(tblCalidadCalculada[[#This Row],[Muestra]],tblCalidadRegistrada[Muestra],0))</f>
        <v/>
      </c>
      <c r="C137" s="6">
        <f>INDEX(tblCalidadRegistrada[Sector hídrico],MATCH(tblCalidadCalculada[[#This Row],[Muestra]],tblCalidadRegistrada[Muestra],0))</f>
        <v/>
      </c>
      <c r="D137" s="6">
        <f>INDEX(tblCalidadRegistrada[Tratamiento],MATCH(tblCalidadCalculada[[#This Row],[Muestra]],tblCalidadRegistrada[Muestra],0))</f>
        <v/>
      </c>
      <c r="E137" s="6">
        <f>INDEX(tblCalidadRegistrada[Bloque],MATCH(tblCalidadCalculada[[#This Row],[Muestra]],tblCalidadRegistrada[Muestra],0))</f>
        <v/>
      </c>
      <c r="F137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37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37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37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37" s="6">
        <f>INDEX(tblCalidadRegistrada[Estado de la medición],MATCH(tblCalidadCalculada[[#This Row],[Muestra]],tblCalidadRegistrada[Muestra],0))</f>
        <v/>
      </c>
      <c r="K137" s="6">
        <f>INDEX(tblCalidadRegistrada[Origen del dato],MATCH(tblCalidadCalculada[[#This Row],[Muestra]],tblCalidadRegistrada[Muestra],0))</f>
        <v/>
      </c>
      <c r="L137" s="14">
        <f>INDEX(tblMSCalculada[Biomasa informada en el libro histórico (kg MS/ha)],MATCH(tblCalidadCalculada[[#This Row],[Muestra]],tblMSCalculada[Muestra],0))</f>
        <v/>
      </c>
      <c r="M137" s="14">
        <f>IF(tblCalidadCalculada[[#This Row],[Nitrógeno medido (%)]]="",tblCalidadCalculada[[#This Row],[Nitrógeno estimado (%)]],tblCalidadCalculada[[#This Row],[Nitrógeno medido (%)]])</f>
        <v/>
      </c>
      <c r="N137" s="14">
        <f>IF(tblCalidadCalculada[[#This Row],[Estado de la medición]]="estimated",INDEX(tblCalidadFaltante[Nitrógeno estimado (%)],MATCH(tblCalidadCalculada[[#This Row],[Muestra]],tblCalidadFaltante[Muestra],0)),"")</f>
        <v/>
      </c>
      <c r="O137" s="14">
        <f>IF(tblCalidadCalculada[[#This Row],[Estado de la medición]]="estimated",INDEX(tblCalidadFaltante[FDA estimada (%)],MATCH(tblCalidadCalculada[[#This Row],[Muestra]],tblCalidadFaltante[Muestra],0)),"")</f>
        <v/>
      </c>
      <c r="P137" s="14">
        <f>IF(tblCalidadCalculada[[#This Row],[Estado de la medición]]="estimated",INDEX(tblCalidadFaltante[FDN estimada (%)],MATCH(tblCalidadCalculada[[#This Row],[Muestra]],tblCalidadFaltante[Muestra],0)),"")</f>
        <v/>
      </c>
      <c r="Q137" s="14">
        <f>tblCalidadCalculada[[#This Row],[Biomasa informada enlazada (kg MS/ha)]]*tblCalidadCalculada[[#This Row],[Nitrógeno efectivo (%)]]/100</f>
        <v/>
      </c>
      <c r="R137" s="14">
        <f>4.8*(tblCalidadCalculada[[#This Row],[Biomasa informada enlazada (kg MS/ha)]]/1000)^(-0.32)</f>
        <v/>
      </c>
      <c r="S137" s="14">
        <f>tblCalidadCalculada[[#This Row],[Nitrógeno efectivo (%)]]/tblCalidadCalculada[[#This Row],[Concentración crítica de nitrógeno (%)]]</f>
        <v/>
      </c>
      <c r="T137" s="6" t="inlineStr">
        <is>
          <t>from_measured_quality</t>
        </is>
      </c>
    </row>
    <row r="138">
      <c r="A138" s="12" t="n">
        <v>134</v>
      </c>
      <c r="B138" s="13">
        <f>INDEX(tblCalidadRegistrada[Fecha],MATCH(tblCalidadCalculada[[#This Row],[Muestra]],tblCalidadRegistrada[Muestra],0))</f>
        <v/>
      </c>
      <c r="C138" s="6">
        <f>INDEX(tblCalidadRegistrada[Sector hídrico],MATCH(tblCalidadCalculada[[#This Row],[Muestra]],tblCalidadRegistrada[Muestra],0))</f>
        <v/>
      </c>
      <c r="D138" s="6">
        <f>INDEX(tblCalidadRegistrada[Tratamiento],MATCH(tblCalidadCalculada[[#This Row],[Muestra]],tblCalidadRegistrada[Muestra],0))</f>
        <v/>
      </c>
      <c r="E138" s="6">
        <f>INDEX(tblCalidadRegistrada[Bloque],MATCH(tblCalidadCalculada[[#This Row],[Muestra]],tblCalidadRegistrada[Muestra],0))</f>
        <v/>
      </c>
      <c r="F138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38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38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38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38" s="6">
        <f>INDEX(tblCalidadRegistrada[Estado de la medición],MATCH(tblCalidadCalculada[[#This Row],[Muestra]],tblCalidadRegistrada[Muestra],0))</f>
        <v/>
      </c>
      <c r="K138" s="6">
        <f>INDEX(tblCalidadRegistrada[Origen del dato],MATCH(tblCalidadCalculada[[#This Row],[Muestra]],tblCalidadRegistrada[Muestra],0))</f>
        <v/>
      </c>
      <c r="L138" s="14">
        <f>INDEX(tblMSCalculada[Biomasa informada en el libro histórico (kg MS/ha)],MATCH(tblCalidadCalculada[[#This Row],[Muestra]],tblMSCalculada[Muestra],0))</f>
        <v/>
      </c>
      <c r="M138" s="14">
        <f>IF(tblCalidadCalculada[[#This Row],[Nitrógeno medido (%)]]="",tblCalidadCalculada[[#This Row],[Nitrógeno estimado (%)]],tblCalidadCalculada[[#This Row],[Nitrógeno medido (%)]])</f>
        <v/>
      </c>
      <c r="N138" s="14">
        <f>IF(tblCalidadCalculada[[#This Row],[Estado de la medición]]="estimated",INDEX(tblCalidadFaltante[Nitrógeno estimado (%)],MATCH(tblCalidadCalculada[[#This Row],[Muestra]],tblCalidadFaltante[Muestra],0)),"")</f>
        <v/>
      </c>
      <c r="O138" s="14">
        <f>IF(tblCalidadCalculada[[#This Row],[Estado de la medición]]="estimated",INDEX(tblCalidadFaltante[FDA estimada (%)],MATCH(tblCalidadCalculada[[#This Row],[Muestra]],tblCalidadFaltante[Muestra],0)),"")</f>
        <v/>
      </c>
      <c r="P138" s="14">
        <f>IF(tblCalidadCalculada[[#This Row],[Estado de la medición]]="estimated",INDEX(tblCalidadFaltante[FDN estimada (%)],MATCH(tblCalidadCalculada[[#This Row],[Muestra]],tblCalidadFaltante[Muestra],0)),"")</f>
        <v/>
      </c>
      <c r="Q138" s="14">
        <f>tblCalidadCalculada[[#This Row],[Biomasa informada enlazada (kg MS/ha)]]*tblCalidadCalculada[[#This Row],[Nitrógeno efectivo (%)]]/100</f>
        <v/>
      </c>
      <c r="R138" s="14">
        <f>4.8*(tblCalidadCalculada[[#This Row],[Biomasa informada enlazada (kg MS/ha)]]/1000)^(-0.32)</f>
        <v/>
      </c>
      <c r="S138" s="14">
        <f>tblCalidadCalculada[[#This Row],[Nitrógeno efectivo (%)]]/tblCalidadCalculada[[#This Row],[Concentración crítica de nitrógeno (%)]]</f>
        <v/>
      </c>
      <c r="T138" s="6" t="inlineStr">
        <is>
          <t>from_measured_quality</t>
        </is>
      </c>
    </row>
    <row r="139">
      <c r="A139" s="12" t="n">
        <v>135</v>
      </c>
      <c r="B139" s="13">
        <f>INDEX(tblCalidadRegistrada[Fecha],MATCH(tblCalidadCalculada[[#This Row],[Muestra]],tblCalidadRegistrada[Muestra],0))</f>
        <v/>
      </c>
      <c r="C139" s="6">
        <f>INDEX(tblCalidadRegistrada[Sector hídrico],MATCH(tblCalidadCalculada[[#This Row],[Muestra]],tblCalidadRegistrada[Muestra],0))</f>
        <v/>
      </c>
      <c r="D139" s="6">
        <f>INDEX(tblCalidadRegistrada[Tratamiento],MATCH(tblCalidadCalculada[[#This Row],[Muestra]],tblCalidadRegistrada[Muestra],0))</f>
        <v/>
      </c>
      <c r="E139" s="6">
        <f>INDEX(tblCalidadRegistrada[Bloque],MATCH(tblCalidadCalculada[[#This Row],[Muestra]],tblCalidadRegistrada[Muestra],0))</f>
        <v/>
      </c>
      <c r="F139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39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39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39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39" s="6">
        <f>INDEX(tblCalidadRegistrada[Estado de la medición],MATCH(tblCalidadCalculada[[#This Row],[Muestra]],tblCalidadRegistrada[Muestra],0))</f>
        <v/>
      </c>
      <c r="K139" s="6">
        <f>INDEX(tblCalidadRegistrada[Origen del dato],MATCH(tblCalidadCalculada[[#This Row],[Muestra]],tblCalidadRegistrada[Muestra],0))</f>
        <v/>
      </c>
      <c r="L139" s="14">
        <f>INDEX(tblMSCalculada[Biomasa informada en el libro histórico (kg MS/ha)],MATCH(tblCalidadCalculada[[#This Row],[Muestra]],tblMSCalculada[Muestra],0))</f>
        <v/>
      </c>
      <c r="M139" s="14">
        <f>IF(tblCalidadCalculada[[#This Row],[Nitrógeno medido (%)]]="",tblCalidadCalculada[[#This Row],[Nitrógeno estimado (%)]],tblCalidadCalculada[[#This Row],[Nitrógeno medido (%)]])</f>
        <v/>
      </c>
      <c r="N139" s="14">
        <f>IF(tblCalidadCalculada[[#This Row],[Estado de la medición]]="estimated",INDEX(tblCalidadFaltante[Nitrógeno estimado (%)],MATCH(tblCalidadCalculada[[#This Row],[Muestra]],tblCalidadFaltante[Muestra],0)),"")</f>
        <v/>
      </c>
      <c r="O139" s="14">
        <f>IF(tblCalidadCalculada[[#This Row],[Estado de la medición]]="estimated",INDEX(tblCalidadFaltante[FDA estimada (%)],MATCH(tblCalidadCalculada[[#This Row],[Muestra]],tblCalidadFaltante[Muestra],0)),"")</f>
        <v/>
      </c>
      <c r="P139" s="14">
        <f>IF(tblCalidadCalculada[[#This Row],[Estado de la medición]]="estimated",INDEX(tblCalidadFaltante[FDN estimada (%)],MATCH(tblCalidadCalculada[[#This Row],[Muestra]],tblCalidadFaltante[Muestra],0)),"")</f>
        <v/>
      </c>
      <c r="Q139" s="14">
        <f>tblCalidadCalculada[[#This Row],[Biomasa informada enlazada (kg MS/ha)]]*tblCalidadCalculada[[#This Row],[Nitrógeno efectivo (%)]]/100</f>
        <v/>
      </c>
      <c r="R139" s="14">
        <f>4.8*(tblCalidadCalculada[[#This Row],[Biomasa informada enlazada (kg MS/ha)]]/1000)^(-0.32)</f>
        <v/>
      </c>
      <c r="S139" s="14">
        <f>tblCalidadCalculada[[#This Row],[Nitrógeno efectivo (%)]]/tblCalidadCalculada[[#This Row],[Concentración crítica de nitrógeno (%)]]</f>
        <v/>
      </c>
      <c r="T139" s="6" t="inlineStr">
        <is>
          <t>from_measured_quality</t>
        </is>
      </c>
    </row>
    <row r="140">
      <c r="A140" s="12" t="n">
        <v>136</v>
      </c>
      <c r="B140" s="13">
        <f>INDEX(tblCalidadRegistrada[Fecha],MATCH(tblCalidadCalculada[[#This Row],[Muestra]],tblCalidadRegistrada[Muestra],0))</f>
        <v/>
      </c>
      <c r="C140" s="6">
        <f>INDEX(tblCalidadRegistrada[Sector hídrico],MATCH(tblCalidadCalculada[[#This Row],[Muestra]],tblCalidadRegistrada[Muestra],0))</f>
        <v/>
      </c>
      <c r="D140" s="6">
        <f>INDEX(tblCalidadRegistrada[Tratamiento],MATCH(tblCalidadCalculada[[#This Row],[Muestra]],tblCalidadRegistrada[Muestra],0))</f>
        <v/>
      </c>
      <c r="E140" s="6">
        <f>INDEX(tblCalidadRegistrada[Bloque],MATCH(tblCalidadCalculada[[#This Row],[Muestra]],tblCalidadRegistrada[Muestra],0))</f>
        <v/>
      </c>
      <c r="F140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40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40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40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40" s="6">
        <f>INDEX(tblCalidadRegistrada[Estado de la medición],MATCH(tblCalidadCalculada[[#This Row],[Muestra]],tblCalidadRegistrada[Muestra],0))</f>
        <v/>
      </c>
      <c r="K140" s="6">
        <f>INDEX(tblCalidadRegistrada[Origen del dato],MATCH(tblCalidadCalculada[[#This Row],[Muestra]],tblCalidadRegistrada[Muestra],0))</f>
        <v/>
      </c>
      <c r="L140" s="14">
        <f>INDEX(tblMSCalculada[Biomasa informada en el libro histórico (kg MS/ha)],MATCH(tblCalidadCalculada[[#This Row],[Muestra]],tblMSCalculada[Muestra],0))</f>
        <v/>
      </c>
      <c r="M140" s="14">
        <f>IF(tblCalidadCalculada[[#This Row],[Nitrógeno medido (%)]]="",tblCalidadCalculada[[#This Row],[Nitrógeno estimado (%)]],tblCalidadCalculada[[#This Row],[Nitrógeno medido (%)]])</f>
        <v/>
      </c>
      <c r="N140" s="14">
        <f>IF(tblCalidadCalculada[[#This Row],[Estado de la medición]]="estimated",INDEX(tblCalidadFaltante[Nitrógeno estimado (%)],MATCH(tblCalidadCalculada[[#This Row],[Muestra]],tblCalidadFaltante[Muestra],0)),"")</f>
        <v/>
      </c>
      <c r="O140" s="14">
        <f>IF(tblCalidadCalculada[[#This Row],[Estado de la medición]]="estimated",INDEX(tblCalidadFaltante[FDA estimada (%)],MATCH(tblCalidadCalculada[[#This Row],[Muestra]],tblCalidadFaltante[Muestra],0)),"")</f>
        <v/>
      </c>
      <c r="P140" s="14">
        <f>IF(tblCalidadCalculada[[#This Row],[Estado de la medición]]="estimated",INDEX(tblCalidadFaltante[FDN estimada (%)],MATCH(tblCalidadCalculada[[#This Row],[Muestra]],tblCalidadFaltante[Muestra],0)),"")</f>
        <v/>
      </c>
      <c r="Q140" s="14">
        <f>tblCalidadCalculada[[#This Row],[Biomasa informada enlazada (kg MS/ha)]]*tblCalidadCalculada[[#This Row],[Nitrógeno efectivo (%)]]/100</f>
        <v/>
      </c>
      <c r="R140" s="14">
        <f>4.8*(tblCalidadCalculada[[#This Row],[Biomasa informada enlazada (kg MS/ha)]]/1000)^(-0.32)</f>
        <v/>
      </c>
      <c r="S140" s="14">
        <f>tblCalidadCalculada[[#This Row],[Nitrógeno efectivo (%)]]/tblCalidadCalculada[[#This Row],[Concentración crítica de nitrógeno (%)]]</f>
        <v/>
      </c>
      <c r="T140" s="6" t="inlineStr">
        <is>
          <t>from_measured_quality</t>
        </is>
      </c>
    </row>
    <row r="141">
      <c r="A141" s="12" t="n">
        <v>137</v>
      </c>
      <c r="B141" s="13">
        <f>INDEX(tblCalidadRegistrada[Fecha],MATCH(tblCalidadCalculada[[#This Row],[Muestra]],tblCalidadRegistrada[Muestra],0))</f>
        <v/>
      </c>
      <c r="C141" s="6">
        <f>INDEX(tblCalidadRegistrada[Sector hídrico],MATCH(tblCalidadCalculada[[#This Row],[Muestra]],tblCalidadRegistrada[Muestra],0))</f>
        <v/>
      </c>
      <c r="D141" s="6">
        <f>INDEX(tblCalidadRegistrada[Tratamiento],MATCH(tblCalidadCalculada[[#This Row],[Muestra]],tblCalidadRegistrada[Muestra],0))</f>
        <v/>
      </c>
      <c r="E141" s="6">
        <f>INDEX(tblCalidadRegistrada[Bloque],MATCH(tblCalidadCalculada[[#This Row],[Muestra]],tblCalidadRegistrada[Muestra],0))</f>
        <v/>
      </c>
      <c r="F141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41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41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41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41" s="6">
        <f>INDEX(tblCalidadRegistrada[Estado de la medición],MATCH(tblCalidadCalculada[[#This Row],[Muestra]],tblCalidadRegistrada[Muestra],0))</f>
        <v/>
      </c>
      <c r="K141" s="6">
        <f>INDEX(tblCalidadRegistrada[Origen del dato],MATCH(tblCalidadCalculada[[#This Row],[Muestra]],tblCalidadRegistrada[Muestra],0))</f>
        <v/>
      </c>
      <c r="L141" s="14">
        <f>INDEX(tblMSCalculada[Biomasa informada en el libro histórico (kg MS/ha)],MATCH(tblCalidadCalculada[[#This Row],[Muestra]],tblMSCalculada[Muestra],0))</f>
        <v/>
      </c>
      <c r="M141" s="14">
        <f>IF(tblCalidadCalculada[[#This Row],[Nitrógeno medido (%)]]="",tblCalidadCalculada[[#This Row],[Nitrógeno estimado (%)]],tblCalidadCalculada[[#This Row],[Nitrógeno medido (%)]])</f>
        <v/>
      </c>
      <c r="N141" s="14">
        <f>IF(tblCalidadCalculada[[#This Row],[Estado de la medición]]="estimated",INDEX(tblCalidadFaltante[Nitrógeno estimado (%)],MATCH(tblCalidadCalculada[[#This Row],[Muestra]],tblCalidadFaltante[Muestra],0)),"")</f>
        <v/>
      </c>
      <c r="O141" s="14">
        <f>IF(tblCalidadCalculada[[#This Row],[Estado de la medición]]="estimated",INDEX(tblCalidadFaltante[FDA estimada (%)],MATCH(tblCalidadCalculada[[#This Row],[Muestra]],tblCalidadFaltante[Muestra],0)),"")</f>
        <v/>
      </c>
      <c r="P141" s="14">
        <f>IF(tblCalidadCalculada[[#This Row],[Estado de la medición]]="estimated",INDEX(tblCalidadFaltante[FDN estimada (%)],MATCH(tblCalidadCalculada[[#This Row],[Muestra]],tblCalidadFaltante[Muestra],0)),"")</f>
        <v/>
      </c>
      <c r="Q141" s="14">
        <f>tblCalidadCalculada[[#This Row],[Biomasa informada enlazada (kg MS/ha)]]*tblCalidadCalculada[[#This Row],[Nitrógeno efectivo (%)]]/100</f>
        <v/>
      </c>
      <c r="R141" s="14">
        <f>4.8*(tblCalidadCalculada[[#This Row],[Biomasa informada enlazada (kg MS/ha)]]/1000)^(-0.32)</f>
        <v/>
      </c>
      <c r="S141" s="14">
        <f>tblCalidadCalculada[[#This Row],[Nitrógeno efectivo (%)]]/tblCalidadCalculada[[#This Row],[Concentración crítica de nitrógeno (%)]]</f>
        <v/>
      </c>
      <c r="T141" s="6" t="inlineStr">
        <is>
          <t>from_measured_quality</t>
        </is>
      </c>
    </row>
    <row r="142">
      <c r="A142" s="12" t="n">
        <v>138</v>
      </c>
      <c r="B142" s="13">
        <f>INDEX(tblCalidadRegistrada[Fecha],MATCH(tblCalidadCalculada[[#This Row],[Muestra]],tblCalidadRegistrada[Muestra],0))</f>
        <v/>
      </c>
      <c r="C142" s="6">
        <f>INDEX(tblCalidadRegistrada[Sector hídrico],MATCH(tblCalidadCalculada[[#This Row],[Muestra]],tblCalidadRegistrada[Muestra],0))</f>
        <v/>
      </c>
      <c r="D142" s="6">
        <f>INDEX(tblCalidadRegistrada[Tratamiento],MATCH(tblCalidadCalculada[[#This Row],[Muestra]],tblCalidadRegistrada[Muestra],0))</f>
        <v/>
      </c>
      <c r="E142" s="6">
        <f>INDEX(tblCalidadRegistrada[Bloque],MATCH(tblCalidadCalculada[[#This Row],[Muestra]],tblCalidadRegistrada[Muestra],0))</f>
        <v/>
      </c>
      <c r="F142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42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42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42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42" s="6">
        <f>INDEX(tblCalidadRegistrada[Estado de la medición],MATCH(tblCalidadCalculada[[#This Row],[Muestra]],tblCalidadRegistrada[Muestra],0))</f>
        <v/>
      </c>
      <c r="K142" s="6">
        <f>INDEX(tblCalidadRegistrada[Origen del dato],MATCH(tblCalidadCalculada[[#This Row],[Muestra]],tblCalidadRegistrada[Muestra],0))</f>
        <v/>
      </c>
      <c r="L142" s="14">
        <f>INDEX(tblMSCalculada[Biomasa informada en el libro histórico (kg MS/ha)],MATCH(tblCalidadCalculada[[#This Row],[Muestra]],tblMSCalculada[Muestra],0))</f>
        <v/>
      </c>
      <c r="M142" s="14">
        <f>IF(tblCalidadCalculada[[#This Row],[Nitrógeno medido (%)]]="",tblCalidadCalculada[[#This Row],[Nitrógeno estimado (%)]],tblCalidadCalculada[[#This Row],[Nitrógeno medido (%)]])</f>
        <v/>
      </c>
      <c r="N142" s="14">
        <f>IF(tblCalidadCalculada[[#This Row],[Estado de la medición]]="estimated",INDEX(tblCalidadFaltante[Nitrógeno estimado (%)],MATCH(tblCalidadCalculada[[#This Row],[Muestra]],tblCalidadFaltante[Muestra],0)),"")</f>
        <v/>
      </c>
      <c r="O142" s="14">
        <f>IF(tblCalidadCalculada[[#This Row],[Estado de la medición]]="estimated",INDEX(tblCalidadFaltante[FDA estimada (%)],MATCH(tblCalidadCalculada[[#This Row],[Muestra]],tblCalidadFaltante[Muestra],0)),"")</f>
        <v/>
      </c>
      <c r="P142" s="14">
        <f>IF(tblCalidadCalculada[[#This Row],[Estado de la medición]]="estimated",INDEX(tblCalidadFaltante[FDN estimada (%)],MATCH(tblCalidadCalculada[[#This Row],[Muestra]],tblCalidadFaltante[Muestra],0)),"")</f>
        <v/>
      </c>
      <c r="Q142" s="14">
        <f>tblCalidadCalculada[[#This Row],[Biomasa informada enlazada (kg MS/ha)]]*tblCalidadCalculada[[#This Row],[Nitrógeno efectivo (%)]]/100</f>
        <v/>
      </c>
      <c r="R142" s="14">
        <f>4.8*(tblCalidadCalculada[[#This Row],[Biomasa informada enlazada (kg MS/ha)]]/1000)^(-0.32)</f>
        <v/>
      </c>
      <c r="S142" s="14">
        <f>tblCalidadCalculada[[#This Row],[Nitrógeno efectivo (%)]]/tblCalidadCalculada[[#This Row],[Concentración crítica de nitrógeno (%)]]</f>
        <v/>
      </c>
      <c r="T142" s="6" t="inlineStr">
        <is>
          <t>from_measured_quality</t>
        </is>
      </c>
    </row>
    <row r="143">
      <c r="A143" s="12" t="n">
        <v>139</v>
      </c>
      <c r="B143" s="13">
        <f>INDEX(tblCalidadRegistrada[Fecha],MATCH(tblCalidadCalculada[[#This Row],[Muestra]],tblCalidadRegistrada[Muestra],0))</f>
        <v/>
      </c>
      <c r="C143" s="6">
        <f>INDEX(tblCalidadRegistrada[Sector hídrico],MATCH(tblCalidadCalculada[[#This Row],[Muestra]],tblCalidadRegistrada[Muestra],0))</f>
        <v/>
      </c>
      <c r="D143" s="6">
        <f>INDEX(tblCalidadRegistrada[Tratamiento],MATCH(tblCalidadCalculada[[#This Row],[Muestra]],tblCalidadRegistrada[Muestra],0))</f>
        <v/>
      </c>
      <c r="E143" s="6">
        <f>INDEX(tblCalidadRegistrada[Bloque],MATCH(tblCalidadCalculada[[#This Row],[Muestra]],tblCalidadRegistrada[Muestra],0))</f>
        <v/>
      </c>
      <c r="F143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43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43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43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43" s="6">
        <f>INDEX(tblCalidadRegistrada[Estado de la medición],MATCH(tblCalidadCalculada[[#This Row],[Muestra]],tblCalidadRegistrada[Muestra],0))</f>
        <v/>
      </c>
      <c r="K143" s="6">
        <f>INDEX(tblCalidadRegistrada[Origen del dato],MATCH(tblCalidadCalculada[[#This Row],[Muestra]],tblCalidadRegistrada[Muestra],0))</f>
        <v/>
      </c>
      <c r="L143" s="14">
        <f>INDEX(tblMSCalculada[Biomasa informada en el libro histórico (kg MS/ha)],MATCH(tblCalidadCalculada[[#This Row],[Muestra]],tblMSCalculada[Muestra],0))</f>
        <v/>
      </c>
      <c r="M143" s="14">
        <f>IF(tblCalidadCalculada[[#This Row],[Nitrógeno medido (%)]]="",tblCalidadCalculada[[#This Row],[Nitrógeno estimado (%)]],tblCalidadCalculada[[#This Row],[Nitrógeno medido (%)]])</f>
        <v/>
      </c>
      <c r="N143" s="14">
        <f>IF(tblCalidadCalculada[[#This Row],[Estado de la medición]]="estimated",INDEX(tblCalidadFaltante[Nitrógeno estimado (%)],MATCH(tblCalidadCalculada[[#This Row],[Muestra]],tblCalidadFaltante[Muestra],0)),"")</f>
        <v/>
      </c>
      <c r="O143" s="14">
        <f>IF(tblCalidadCalculada[[#This Row],[Estado de la medición]]="estimated",INDEX(tblCalidadFaltante[FDA estimada (%)],MATCH(tblCalidadCalculada[[#This Row],[Muestra]],tblCalidadFaltante[Muestra],0)),"")</f>
        <v/>
      </c>
      <c r="P143" s="14">
        <f>IF(tblCalidadCalculada[[#This Row],[Estado de la medición]]="estimated",INDEX(tblCalidadFaltante[FDN estimada (%)],MATCH(tblCalidadCalculada[[#This Row],[Muestra]],tblCalidadFaltante[Muestra],0)),"")</f>
        <v/>
      </c>
      <c r="Q143" s="14">
        <f>tblCalidadCalculada[[#This Row],[Biomasa informada enlazada (kg MS/ha)]]*tblCalidadCalculada[[#This Row],[Nitrógeno efectivo (%)]]/100</f>
        <v/>
      </c>
      <c r="R143" s="14">
        <f>4.8*(tblCalidadCalculada[[#This Row],[Biomasa informada enlazada (kg MS/ha)]]/1000)^(-0.32)</f>
        <v/>
      </c>
      <c r="S143" s="14">
        <f>tblCalidadCalculada[[#This Row],[Nitrógeno efectivo (%)]]/tblCalidadCalculada[[#This Row],[Concentración crítica de nitrógeno (%)]]</f>
        <v/>
      </c>
      <c r="T143" s="6" t="inlineStr">
        <is>
          <t>from_measured_quality</t>
        </is>
      </c>
    </row>
    <row r="144">
      <c r="A144" s="12" t="n">
        <v>140</v>
      </c>
      <c r="B144" s="13">
        <f>INDEX(tblCalidadRegistrada[Fecha],MATCH(tblCalidadCalculada[[#This Row],[Muestra]],tblCalidadRegistrada[Muestra],0))</f>
        <v/>
      </c>
      <c r="C144" s="6">
        <f>INDEX(tblCalidadRegistrada[Sector hídrico],MATCH(tblCalidadCalculada[[#This Row],[Muestra]],tblCalidadRegistrada[Muestra],0))</f>
        <v/>
      </c>
      <c r="D144" s="6">
        <f>INDEX(tblCalidadRegistrada[Tratamiento],MATCH(tblCalidadCalculada[[#This Row],[Muestra]],tblCalidadRegistrada[Muestra],0))</f>
        <v/>
      </c>
      <c r="E144" s="6">
        <f>INDEX(tblCalidadRegistrada[Bloque],MATCH(tblCalidadCalculada[[#This Row],[Muestra]],tblCalidadRegistrada[Muestra],0))</f>
        <v/>
      </c>
      <c r="F144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44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44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44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44" s="6">
        <f>INDEX(tblCalidadRegistrada[Estado de la medición],MATCH(tblCalidadCalculada[[#This Row],[Muestra]],tblCalidadRegistrada[Muestra],0))</f>
        <v/>
      </c>
      <c r="K144" s="6">
        <f>INDEX(tblCalidadRegistrada[Origen del dato],MATCH(tblCalidadCalculada[[#This Row],[Muestra]],tblCalidadRegistrada[Muestra],0))</f>
        <v/>
      </c>
      <c r="L144" s="14">
        <f>INDEX(tblMSCalculada[Biomasa informada en el libro histórico (kg MS/ha)],MATCH(tblCalidadCalculada[[#This Row],[Muestra]],tblMSCalculada[Muestra],0))</f>
        <v/>
      </c>
      <c r="M144" s="14">
        <f>IF(tblCalidadCalculada[[#This Row],[Nitrógeno medido (%)]]="",tblCalidadCalculada[[#This Row],[Nitrógeno estimado (%)]],tblCalidadCalculada[[#This Row],[Nitrógeno medido (%)]])</f>
        <v/>
      </c>
      <c r="N144" s="14">
        <f>IF(tblCalidadCalculada[[#This Row],[Estado de la medición]]="estimated",INDEX(tblCalidadFaltante[Nitrógeno estimado (%)],MATCH(tblCalidadCalculada[[#This Row],[Muestra]],tblCalidadFaltante[Muestra],0)),"")</f>
        <v/>
      </c>
      <c r="O144" s="14">
        <f>IF(tblCalidadCalculada[[#This Row],[Estado de la medición]]="estimated",INDEX(tblCalidadFaltante[FDA estimada (%)],MATCH(tblCalidadCalculada[[#This Row],[Muestra]],tblCalidadFaltante[Muestra],0)),"")</f>
        <v/>
      </c>
      <c r="P144" s="14">
        <f>IF(tblCalidadCalculada[[#This Row],[Estado de la medición]]="estimated",INDEX(tblCalidadFaltante[FDN estimada (%)],MATCH(tblCalidadCalculada[[#This Row],[Muestra]],tblCalidadFaltante[Muestra],0)),"")</f>
        <v/>
      </c>
      <c r="Q144" s="14">
        <f>tblCalidadCalculada[[#This Row],[Biomasa informada enlazada (kg MS/ha)]]*tblCalidadCalculada[[#This Row],[Nitrógeno efectivo (%)]]/100</f>
        <v/>
      </c>
      <c r="R144" s="14">
        <f>4.8*(tblCalidadCalculada[[#This Row],[Biomasa informada enlazada (kg MS/ha)]]/1000)^(-0.32)</f>
        <v/>
      </c>
      <c r="S144" s="14">
        <f>tblCalidadCalculada[[#This Row],[Nitrógeno efectivo (%)]]/tblCalidadCalculada[[#This Row],[Concentración crítica de nitrógeno (%)]]</f>
        <v/>
      </c>
      <c r="T144" s="6" t="inlineStr">
        <is>
          <t>from_measured_quality</t>
        </is>
      </c>
    </row>
    <row r="145">
      <c r="A145" s="12" t="n">
        <v>141</v>
      </c>
      <c r="B145" s="13">
        <f>INDEX(tblCalidadRegistrada[Fecha],MATCH(tblCalidadCalculada[[#This Row],[Muestra]],tblCalidadRegistrada[Muestra],0))</f>
        <v/>
      </c>
      <c r="C145" s="6">
        <f>INDEX(tblCalidadRegistrada[Sector hídrico],MATCH(tblCalidadCalculada[[#This Row],[Muestra]],tblCalidadRegistrada[Muestra],0))</f>
        <v/>
      </c>
      <c r="D145" s="6">
        <f>INDEX(tblCalidadRegistrada[Tratamiento],MATCH(tblCalidadCalculada[[#This Row],[Muestra]],tblCalidadRegistrada[Muestra],0))</f>
        <v/>
      </c>
      <c r="E145" s="6">
        <f>INDEX(tblCalidadRegistrada[Bloque],MATCH(tblCalidadCalculada[[#This Row],[Muestra]],tblCalidadRegistrada[Muestra],0))</f>
        <v/>
      </c>
      <c r="F145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45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45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45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45" s="6">
        <f>INDEX(tblCalidadRegistrada[Estado de la medición],MATCH(tblCalidadCalculada[[#This Row],[Muestra]],tblCalidadRegistrada[Muestra],0))</f>
        <v/>
      </c>
      <c r="K145" s="6">
        <f>INDEX(tblCalidadRegistrada[Origen del dato],MATCH(tblCalidadCalculada[[#This Row],[Muestra]],tblCalidadRegistrada[Muestra],0))</f>
        <v/>
      </c>
      <c r="L145" s="14">
        <f>INDEX(tblMSCalculada[Biomasa informada en el libro histórico (kg MS/ha)],MATCH(tblCalidadCalculada[[#This Row],[Muestra]],tblMSCalculada[Muestra],0))</f>
        <v/>
      </c>
      <c r="M145" s="14">
        <f>IF(tblCalidadCalculada[[#This Row],[Nitrógeno medido (%)]]="",tblCalidadCalculada[[#This Row],[Nitrógeno estimado (%)]],tblCalidadCalculada[[#This Row],[Nitrógeno medido (%)]])</f>
        <v/>
      </c>
      <c r="N145" s="14">
        <f>IF(tblCalidadCalculada[[#This Row],[Estado de la medición]]="estimated",INDEX(tblCalidadFaltante[Nitrógeno estimado (%)],MATCH(tblCalidadCalculada[[#This Row],[Muestra]],tblCalidadFaltante[Muestra],0)),"")</f>
        <v/>
      </c>
      <c r="O145" s="14">
        <f>IF(tblCalidadCalculada[[#This Row],[Estado de la medición]]="estimated",INDEX(tblCalidadFaltante[FDA estimada (%)],MATCH(tblCalidadCalculada[[#This Row],[Muestra]],tblCalidadFaltante[Muestra],0)),"")</f>
        <v/>
      </c>
      <c r="P145" s="14">
        <f>IF(tblCalidadCalculada[[#This Row],[Estado de la medición]]="estimated",INDEX(tblCalidadFaltante[FDN estimada (%)],MATCH(tblCalidadCalculada[[#This Row],[Muestra]],tblCalidadFaltante[Muestra],0)),"")</f>
        <v/>
      </c>
      <c r="Q145" s="14">
        <f>tblCalidadCalculada[[#This Row],[Biomasa informada enlazada (kg MS/ha)]]*tblCalidadCalculada[[#This Row],[Nitrógeno efectivo (%)]]/100</f>
        <v/>
      </c>
      <c r="R145" s="14">
        <f>4.8*(tblCalidadCalculada[[#This Row],[Biomasa informada enlazada (kg MS/ha)]]/1000)^(-0.32)</f>
        <v/>
      </c>
      <c r="S145" s="14">
        <f>tblCalidadCalculada[[#This Row],[Nitrógeno efectivo (%)]]/tblCalidadCalculada[[#This Row],[Concentración crítica de nitrógeno (%)]]</f>
        <v/>
      </c>
      <c r="T145" s="6" t="inlineStr">
        <is>
          <t>from_measured_quality</t>
        </is>
      </c>
    </row>
    <row r="146">
      <c r="A146" s="12" t="n">
        <v>142</v>
      </c>
      <c r="B146" s="13">
        <f>INDEX(tblCalidadRegistrada[Fecha],MATCH(tblCalidadCalculada[[#This Row],[Muestra]],tblCalidadRegistrada[Muestra],0))</f>
        <v/>
      </c>
      <c r="C146" s="6">
        <f>INDEX(tblCalidadRegistrada[Sector hídrico],MATCH(tblCalidadCalculada[[#This Row],[Muestra]],tblCalidadRegistrada[Muestra],0))</f>
        <v/>
      </c>
      <c r="D146" s="6">
        <f>INDEX(tblCalidadRegistrada[Tratamiento],MATCH(tblCalidadCalculada[[#This Row],[Muestra]],tblCalidadRegistrada[Muestra],0))</f>
        <v/>
      </c>
      <c r="E146" s="6">
        <f>INDEX(tblCalidadRegistrada[Bloque],MATCH(tblCalidadCalculada[[#This Row],[Muestra]],tblCalidadRegistrada[Muestra],0))</f>
        <v/>
      </c>
      <c r="F146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46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46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46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46" s="6">
        <f>INDEX(tblCalidadRegistrada[Estado de la medición],MATCH(tblCalidadCalculada[[#This Row],[Muestra]],tblCalidadRegistrada[Muestra],0))</f>
        <v/>
      </c>
      <c r="K146" s="6">
        <f>INDEX(tblCalidadRegistrada[Origen del dato],MATCH(tblCalidadCalculada[[#This Row],[Muestra]],tblCalidadRegistrada[Muestra],0))</f>
        <v/>
      </c>
      <c r="L146" s="14">
        <f>INDEX(tblMSCalculada[Biomasa informada en el libro histórico (kg MS/ha)],MATCH(tblCalidadCalculada[[#This Row],[Muestra]],tblMSCalculada[Muestra],0))</f>
        <v/>
      </c>
      <c r="M146" s="14">
        <f>IF(tblCalidadCalculada[[#This Row],[Nitrógeno medido (%)]]="",tblCalidadCalculada[[#This Row],[Nitrógeno estimado (%)]],tblCalidadCalculada[[#This Row],[Nitrógeno medido (%)]])</f>
        <v/>
      </c>
      <c r="N146" s="14">
        <f>IF(tblCalidadCalculada[[#This Row],[Estado de la medición]]="estimated",INDEX(tblCalidadFaltante[Nitrógeno estimado (%)],MATCH(tblCalidadCalculada[[#This Row],[Muestra]],tblCalidadFaltante[Muestra],0)),"")</f>
        <v/>
      </c>
      <c r="O146" s="14">
        <f>IF(tblCalidadCalculada[[#This Row],[Estado de la medición]]="estimated",INDEX(tblCalidadFaltante[FDA estimada (%)],MATCH(tblCalidadCalculada[[#This Row],[Muestra]],tblCalidadFaltante[Muestra],0)),"")</f>
        <v/>
      </c>
      <c r="P146" s="14">
        <f>IF(tblCalidadCalculada[[#This Row],[Estado de la medición]]="estimated",INDEX(tblCalidadFaltante[FDN estimada (%)],MATCH(tblCalidadCalculada[[#This Row],[Muestra]],tblCalidadFaltante[Muestra],0)),"")</f>
        <v/>
      </c>
      <c r="Q146" s="14">
        <f>tblCalidadCalculada[[#This Row],[Biomasa informada enlazada (kg MS/ha)]]*tblCalidadCalculada[[#This Row],[Nitrógeno efectivo (%)]]/100</f>
        <v/>
      </c>
      <c r="R146" s="14">
        <f>4.8*(tblCalidadCalculada[[#This Row],[Biomasa informada enlazada (kg MS/ha)]]/1000)^(-0.32)</f>
        <v/>
      </c>
      <c r="S146" s="14">
        <f>tblCalidadCalculada[[#This Row],[Nitrógeno efectivo (%)]]/tblCalidadCalculada[[#This Row],[Concentración crítica de nitrógeno (%)]]</f>
        <v/>
      </c>
      <c r="T146" s="6" t="inlineStr">
        <is>
          <t>from_measured_quality</t>
        </is>
      </c>
    </row>
    <row r="147">
      <c r="A147" s="12" t="n">
        <v>143</v>
      </c>
      <c r="B147" s="13">
        <f>INDEX(tblCalidadRegistrada[Fecha],MATCH(tblCalidadCalculada[[#This Row],[Muestra]],tblCalidadRegistrada[Muestra],0))</f>
        <v/>
      </c>
      <c r="C147" s="6">
        <f>INDEX(tblCalidadRegistrada[Sector hídrico],MATCH(tblCalidadCalculada[[#This Row],[Muestra]],tblCalidadRegistrada[Muestra],0))</f>
        <v/>
      </c>
      <c r="D147" s="6">
        <f>INDEX(tblCalidadRegistrada[Tratamiento],MATCH(tblCalidadCalculada[[#This Row],[Muestra]],tblCalidadRegistrada[Muestra],0))</f>
        <v/>
      </c>
      <c r="E147" s="6">
        <f>INDEX(tblCalidadRegistrada[Bloque],MATCH(tblCalidadCalculada[[#This Row],[Muestra]],tblCalidadRegistrada[Muestra],0))</f>
        <v/>
      </c>
      <c r="F147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47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47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47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47" s="6">
        <f>INDEX(tblCalidadRegistrada[Estado de la medición],MATCH(tblCalidadCalculada[[#This Row],[Muestra]],tblCalidadRegistrada[Muestra],0))</f>
        <v/>
      </c>
      <c r="K147" s="6">
        <f>INDEX(tblCalidadRegistrada[Origen del dato],MATCH(tblCalidadCalculada[[#This Row],[Muestra]],tblCalidadRegistrada[Muestra],0))</f>
        <v/>
      </c>
      <c r="L147" s="14">
        <f>INDEX(tblMSCalculada[Biomasa informada en el libro histórico (kg MS/ha)],MATCH(tblCalidadCalculada[[#This Row],[Muestra]],tblMSCalculada[Muestra],0))</f>
        <v/>
      </c>
      <c r="M147" s="14">
        <f>IF(tblCalidadCalculada[[#This Row],[Nitrógeno medido (%)]]="",tblCalidadCalculada[[#This Row],[Nitrógeno estimado (%)]],tblCalidadCalculada[[#This Row],[Nitrógeno medido (%)]])</f>
        <v/>
      </c>
      <c r="N147" s="14">
        <f>IF(tblCalidadCalculada[[#This Row],[Estado de la medición]]="estimated",INDEX(tblCalidadFaltante[Nitrógeno estimado (%)],MATCH(tblCalidadCalculada[[#This Row],[Muestra]],tblCalidadFaltante[Muestra],0)),"")</f>
        <v/>
      </c>
      <c r="O147" s="14">
        <f>IF(tblCalidadCalculada[[#This Row],[Estado de la medición]]="estimated",INDEX(tblCalidadFaltante[FDA estimada (%)],MATCH(tblCalidadCalculada[[#This Row],[Muestra]],tblCalidadFaltante[Muestra],0)),"")</f>
        <v/>
      </c>
      <c r="P147" s="14">
        <f>IF(tblCalidadCalculada[[#This Row],[Estado de la medición]]="estimated",INDEX(tblCalidadFaltante[FDN estimada (%)],MATCH(tblCalidadCalculada[[#This Row],[Muestra]],tblCalidadFaltante[Muestra],0)),"")</f>
        <v/>
      </c>
      <c r="Q147" s="14">
        <f>tblCalidadCalculada[[#This Row],[Biomasa informada enlazada (kg MS/ha)]]*tblCalidadCalculada[[#This Row],[Nitrógeno efectivo (%)]]/100</f>
        <v/>
      </c>
      <c r="R147" s="14">
        <f>4.8*(tblCalidadCalculada[[#This Row],[Biomasa informada enlazada (kg MS/ha)]]/1000)^(-0.32)</f>
        <v/>
      </c>
      <c r="S147" s="14">
        <f>tblCalidadCalculada[[#This Row],[Nitrógeno efectivo (%)]]/tblCalidadCalculada[[#This Row],[Concentración crítica de nitrógeno (%)]]</f>
        <v/>
      </c>
      <c r="T147" s="6" t="inlineStr">
        <is>
          <t>from_measured_quality</t>
        </is>
      </c>
    </row>
    <row r="148">
      <c r="A148" s="12" t="n">
        <v>144</v>
      </c>
      <c r="B148" s="13">
        <f>INDEX(tblCalidadRegistrada[Fecha],MATCH(tblCalidadCalculada[[#This Row],[Muestra]],tblCalidadRegistrada[Muestra],0))</f>
        <v/>
      </c>
      <c r="C148" s="6">
        <f>INDEX(tblCalidadRegistrada[Sector hídrico],MATCH(tblCalidadCalculada[[#This Row],[Muestra]],tblCalidadRegistrada[Muestra],0))</f>
        <v/>
      </c>
      <c r="D148" s="6">
        <f>INDEX(tblCalidadRegistrada[Tratamiento],MATCH(tblCalidadCalculada[[#This Row],[Muestra]],tblCalidadRegistrada[Muestra],0))</f>
        <v/>
      </c>
      <c r="E148" s="6">
        <f>INDEX(tblCalidadRegistrada[Bloque],MATCH(tblCalidadCalculada[[#This Row],[Muestra]],tblCalidadRegistrada[Muestra],0))</f>
        <v/>
      </c>
      <c r="F148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48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48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48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48" s="6">
        <f>INDEX(tblCalidadRegistrada[Estado de la medición],MATCH(tblCalidadCalculada[[#This Row],[Muestra]],tblCalidadRegistrada[Muestra],0))</f>
        <v/>
      </c>
      <c r="K148" s="6">
        <f>INDEX(tblCalidadRegistrada[Origen del dato],MATCH(tblCalidadCalculada[[#This Row],[Muestra]],tblCalidadRegistrada[Muestra],0))</f>
        <v/>
      </c>
      <c r="L148" s="14">
        <f>INDEX(tblMSCalculada[Biomasa informada en el libro histórico (kg MS/ha)],MATCH(tblCalidadCalculada[[#This Row],[Muestra]],tblMSCalculada[Muestra],0))</f>
        <v/>
      </c>
      <c r="M148" s="14">
        <f>IF(tblCalidadCalculada[[#This Row],[Nitrógeno medido (%)]]="",tblCalidadCalculada[[#This Row],[Nitrógeno estimado (%)]],tblCalidadCalculada[[#This Row],[Nitrógeno medido (%)]])</f>
        <v/>
      </c>
      <c r="N148" s="14">
        <f>IF(tblCalidadCalculada[[#This Row],[Estado de la medición]]="estimated",INDEX(tblCalidadFaltante[Nitrógeno estimado (%)],MATCH(tblCalidadCalculada[[#This Row],[Muestra]],tblCalidadFaltante[Muestra],0)),"")</f>
        <v/>
      </c>
      <c r="O148" s="14">
        <f>IF(tblCalidadCalculada[[#This Row],[Estado de la medición]]="estimated",INDEX(tblCalidadFaltante[FDA estimada (%)],MATCH(tblCalidadCalculada[[#This Row],[Muestra]],tblCalidadFaltante[Muestra],0)),"")</f>
        <v/>
      </c>
      <c r="P148" s="14">
        <f>IF(tblCalidadCalculada[[#This Row],[Estado de la medición]]="estimated",INDEX(tblCalidadFaltante[FDN estimada (%)],MATCH(tblCalidadCalculada[[#This Row],[Muestra]],tblCalidadFaltante[Muestra],0)),"")</f>
        <v/>
      </c>
      <c r="Q148" s="14">
        <f>tblCalidadCalculada[[#This Row],[Biomasa informada enlazada (kg MS/ha)]]*tblCalidadCalculada[[#This Row],[Nitrógeno efectivo (%)]]/100</f>
        <v/>
      </c>
      <c r="R148" s="14">
        <f>4.8*(tblCalidadCalculada[[#This Row],[Biomasa informada enlazada (kg MS/ha)]]/1000)^(-0.32)</f>
        <v/>
      </c>
      <c r="S148" s="14">
        <f>tblCalidadCalculada[[#This Row],[Nitrógeno efectivo (%)]]/tblCalidadCalculada[[#This Row],[Concentración crítica de nitrógeno (%)]]</f>
        <v/>
      </c>
      <c r="T148" s="6" t="inlineStr">
        <is>
          <t>from_measured_quality</t>
        </is>
      </c>
    </row>
    <row r="149">
      <c r="A149" s="12" t="n">
        <v>145</v>
      </c>
      <c r="B149" s="13">
        <f>INDEX(tblCalidadRegistrada[Fecha],MATCH(tblCalidadCalculada[[#This Row],[Muestra]],tblCalidadRegistrada[Muestra],0))</f>
        <v/>
      </c>
      <c r="C149" s="6">
        <f>INDEX(tblCalidadRegistrada[Sector hídrico],MATCH(tblCalidadCalculada[[#This Row],[Muestra]],tblCalidadRegistrada[Muestra],0))</f>
        <v/>
      </c>
      <c r="D149" s="6">
        <f>INDEX(tblCalidadRegistrada[Tratamiento],MATCH(tblCalidadCalculada[[#This Row],[Muestra]],tblCalidadRegistrada[Muestra],0))</f>
        <v/>
      </c>
      <c r="E149" s="6">
        <f>INDEX(tblCalidadRegistrada[Bloque],MATCH(tblCalidadCalculada[[#This Row],[Muestra]],tblCalidadRegistrada[Muestra],0))</f>
        <v/>
      </c>
      <c r="F149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49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49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49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49" s="6">
        <f>INDEX(tblCalidadRegistrada[Estado de la medición],MATCH(tblCalidadCalculada[[#This Row],[Muestra]],tblCalidadRegistrada[Muestra],0))</f>
        <v/>
      </c>
      <c r="K149" s="6">
        <f>INDEX(tblCalidadRegistrada[Origen del dato],MATCH(tblCalidadCalculada[[#This Row],[Muestra]],tblCalidadRegistrada[Muestra],0))</f>
        <v/>
      </c>
      <c r="L149" s="14">
        <f>INDEX(tblMSCalculada[Biomasa informada en el libro histórico (kg MS/ha)],MATCH(tblCalidadCalculada[[#This Row],[Muestra]],tblMSCalculada[Muestra],0))</f>
        <v/>
      </c>
      <c r="M149" s="14">
        <f>IF(tblCalidadCalculada[[#This Row],[Nitrógeno medido (%)]]="",tblCalidadCalculada[[#This Row],[Nitrógeno estimado (%)]],tblCalidadCalculada[[#This Row],[Nitrógeno medido (%)]])</f>
        <v/>
      </c>
      <c r="N149" s="14">
        <f>IF(tblCalidadCalculada[[#This Row],[Estado de la medición]]="estimated",INDEX(tblCalidadFaltante[Nitrógeno estimado (%)],MATCH(tblCalidadCalculada[[#This Row],[Muestra]],tblCalidadFaltante[Muestra],0)),"")</f>
        <v/>
      </c>
      <c r="O149" s="14">
        <f>IF(tblCalidadCalculada[[#This Row],[Estado de la medición]]="estimated",INDEX(tblCalidadFaltante[FDA estimada (%)],MATCH(tblCalidadCalculada[[#This Row],[Muestra]],tblCalidadFaltante[Muestra],0)),"")</f>
        <v/>
      </c>
      <c r="P149" s="14">
        <f>IF(tblCalidadCalculada[[#This Row],[Estado de la medición]]="estimated",INDEX(tblCalidadFaltante[FDN estimada (%)],MATCH(tblCalidadCalculada[[#This Row],[Muestra]],tblCalidadFaltante[Muestra],0)),"")</f>
        <v/>
      </c>
      <c r="Q149" s="14">
        <f>tblCalidadCalculada[[#This Row],[Biomasa informada enlazada (kg MS/ha)]]*tblCalidadCalculada[[#This Row],[Nitrógeno efectivo (%)]]/100</f>
        <v/>
      </c>
      <c r="R149" s="14">
        <f>4.8*(tblCalidadCalculada[[#This Row],[Biomasa informada enlazada (kg MS/ha)]]/1000)^(-0.32)</f>
        <v/>
      </c>
      <c r="S149" s="14">
        <f>tblCalidadCalculada[[#This Row],[Nitrógeno efectivo (%)]]/tblCalidadCalculada[[#This Row],[Concentración crítica de nitrógeno (%)]]</f>
        <v/>
      </c>
      <c r="T149" s="6" t="inlineStr">
        <is>
          <t>from_measured_quality</t>
        </is>
      </c>
    </row>
    <row r="150">
      <c r="A150" s="12" t="n">
        <v>146</v>
      </c>
      <c r="B150" s="13">
        <f>INDEX(tblCalidadRegistrada[Fecha],MATCH(tblCalidadCalculada[[#This Row],[Muestra]],tblCalidadRegistrada[Muestra],0))</f>
        <v/>
      </c>
      <c r="C150" s="6">
        <f>INDEX(tblCalidadRegistrada[Sector hídrico],MATCH(tblCalidadCalculada[[#This Row],[Muestra]],tblCalidadRegistrada[Muestra],0))</f>
        <v/>
      </c>
      <c r="D150" s="6">
        <f>INDEX(tblCalidadRegistrada[Tratamiento],MATCH(tblCalidadCalculada[[#This Row],[Muestra]],tblCalidadRegistrada[Muestra],0))</f>
        <v/>
      </c>
      <c r="E150" s="6">
        <f>INDEX(tblCalidadRegistrada[Bloque],MATCH(tblCalidadCalculada[[#This Row],[Muestra]],tblCalidadRegistrada[Muestra],0))</f>
        <v/>
      </c>
      <c r="F150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50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50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50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50" s="6">
        <f>INDEX(tblCalidadRegistrada[Estado de la medición],MATCH(tblCalidadCalculada[[#This Row],[Muestra]],tblCalidadRegistrada[Muestra],0))</f>
        <v/>
      </c>
      <c r="K150" s="6">
        <f>INDEX(tblCalidadRegistrada[Origen del dato],MATCH(tblCalidadCalculada[[#This Row],[Muestra]],tblCalidadRegistrada[Muestra],0))</f>
        <v/>
      </c>
      <c r="L150" s="14">
        <f>INDEX(tblMSCalculada[Biomasa informada en el libro histórico (kg MS/ha)],MATCH(tblCalidadCalculada[[#This Row],[Muestra]],tblMSCalculada[Muestra],0))</f>
        <v/>
      </c>
      <c r="M150" s="14">
        <f>IF(tblCalidadCalculada[[#This Row],[Nitrógeno medido (%)]]="",tblCalidadCalculada[[#This Row],[Nitrógeno estimado (%)]],tblCalidadCalculada[[#This Row],[Nitrógeno medido (%)]])</f>
        <v/>
      </c>
      <c r="N150" s="14">
        <f>IF(tblCalidadCalculada[[#This Row],[Estado de la medición]]="estimated",INDEX(tblCalidadFaltante[Nitrógeno estimado (%)],MATCH(tblCalidadCalculada[[#This Row],[Muestra]],tblCalidadFaltante[Muestra],0)),"")</f>
        <v/>
      </c>
      <c r="O150" s="14">
        <f>IF(tblCalidadCalculada[[#This Row],[Estado de la medición]]="estimated",INDEX(tblCalidadFaltante[FDA estimada (%)],MATCH(tblCalidadCalculada[[#This Row],[Muestra]],tblCalidadFaltante[Muestra],0)),"")</f>
        <v/>
      </c>
      <c r="P150" s="14">
        <f>IF(tblCalidadCalculada[[#This Row],[Estado de la medición]]="estimated",INDEX(tblCalidadFaltante[FDN estimada (%)],MATCH(tblCalidadCalculada[[#This Row],[Muestra]],tblCalidadFaltante[Muestra],0)),"")</f>
        <v/>
      </c>
      <c r="Q150" s="14">
        <f>tblCalidadCalculada[[#This Row],[Biomasa informada enlazada (kg MS/ha)]]*tblCalidadCalculada[[#This Row],[Nitrógeno efectivo (%)]]/100</f>
        <v/>
      </c>
      <c r="R150" s="14">
        <f>4.8*(tblCalidadCalculada[[#This Row],[Biomasa informada enlazada (kg MS/ha)]]/1000)^(-0.32)</f>
        <v/>
      </c>
      <c r="S150" s="14">
        <f>tblCalidadCalculada[[#This Row],[Nitrógeno efectivo (%)]]/tblCalidadCalculada[[#This Row],[Concentración crítica de nitrógeno (%)]]</f>
        <v/>
      </c>
      <c r="T150" s="6" t="inlineStr">
        <is>
          <t>from_measured_quality</t>
        </is>
      </c>
    </row>
    <row r="151">
      <c r="A151" s="12" t="n">
        <v>147</v>
      </c>
      <c r="B151" s="13">
        <f>INDEX(tblCalidadRegistrada[Fecha],MATCH(tblCalidadCalculada[[#This Row],[Muestra]],tblCalidadRegistrada[Muestra],0))</f>
        <v/>
      </c>
      <c r="C151" s="6">
        <f>INDEX(tblCalidadRegistrada[Sector hídrico],MATCH(tblCalidadCalculada[[#This Row],[Muestra]],tblCalidadRegistrada[Muestra],0))</f>
        <v/>
      </c>
      <c r="D151" s="6">
        <f>INDEX(tblCalidadRegistrada[Tratamiento],MATCH(tblCalidadCalculada[[#This Row],[Muestra]],tblCalidadRegistrada[Muestra],0))</f>
        <v/>
      </c>
      <c r="E151" s="6">
        <f>INDEX(tblCalidadRegistrada[Bloque],MATCH(tblCalidadCalculada[[#This Row],[Muestra]],tblCalidadRegistrada[Muestra],0))</f>
        <v/>
      </c>
      <c r="F151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51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51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51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51" s="6">
        <f>INDEX(tblCalidadRegistrada[Estado de la medición],MATCH(tblCalidadCalculada[[#This Row],[Muestra]],tblCalidadRegistrada[Muestra],0))</f>
        <v/>
      </c>
      <c r="K151" s="6">
        <f>INDEX(tblCalidadRegistrada[Origen del dato],MATCH(tblCalidadCalculada[[#This Row],[Muestra]],tblCalidadRegistrada[Muestra],0))</f>
        <v/>
      </c>
      <c r="L151" s="14">
        <f>INDEX(tblMSCalculada[Biomasa informada en el libro histórico (kg MS/ha)],MATCH(tblCalidadCalculada[[#This Row],[Muestra]],tblMSCalculada[Muestra],0))</f>
        <v/>
      </c>
      <c r="M151" s="14">
        <f>IF(tblCalidadCalculada[[#This Row],[Nitrógeno medido (%)]]="",tblCalidadCalculada[[#This Row],[Nitrógeno estimado (%)]],tblCalidadCalculada[[#This Row],[Nitrógeno medido (%)]])</f>
        <v/>
      </c>
      <c r="N151" s="14">
        <f>IF(tblCalidadCalculada[[#This Row],[Estado de la medición]]="estimated",INDEX(tblCalidadFaltante[Nitrógeno estimado (%)],MATCH(tblCalidadCalculada[[#This Row],[Muestra]],tblCalidadFaltante[Muestra],0)),"")</f>
        <v/>
      </c>
      <c r="O151" s="14">
        <f>IF(tblCalidadCalculada[[#This Row],[Estado de la medición]]="estimated",INDEX(tblCalidadFaltante[FDA estimada (%)],MATCH(tblCalidadCalculada[[#This Row],[Muestra]],tblCalidadFaltante[Muestra],0)),"")</f>
        <v/>
      </c>
      <c r="P151" s="14">
        <f>IF(tblCalidadCalculada[[#This Row],[Estado de la medición]]="estimated",INDEX(tblCalidadFaltante[FDN estimada (%)],MATCH(tblCalidadCalculada[[#This Row],[Muestra]],tblCalidadFaltante[Muestra],0)),"")</f>
        <v/>
      </c>
      <c r="Q151" s="14">
        <f>tblCalidadCalculada[[#This Row],[Biomasa informada enlazada (kg MS/ha)]]*tblCalidadCalculada[[#This Row],[Nitrógeno efectivo (%)]]/100</f>
        <v/>
      </c>
      <c r="R151" s="14">
        <f>4.8*(tblCalidadCalculada[[#This Row],[Biomasa informada enlazada (kg MS/ha)]]/1000)^(-0.32)</f>
        <v/>
      </c>
      <c r="S151" s="14">
        <f>tblCalidadCalculada[[#This Row],[Nitrógeno efectivo (%)]]/tblCalidadCalculada[[#This Row],[Concentración crítica de nitrógeno (%)]]</f>
        <v/>
      </c>
      <c r="T151" s="6" t="inlineStr">
        <is>
          <t>from_measured_quality</t>
        </is>
      </c>
    </row>
    <row r="152">
      <c r="A152" s="12" t="n">
        <v>148</v>
      </c>
      <c r="B152" s="13">
        <f>INDEX(tblCalidadRegistrada[Fecha],MATCH(tblCalidadCalculada[[#This Row],[Muestra]],tblCalidadRegistrada[Muestra],0))</f>
        <v/>
      </c>
      <c r="C152" s="6">
        <f>INDEX(tblCalidadRegistrada[Sector hídrico],MATCH(tblCalidadCalculada[[#This Row],[Muestra]],tblCalidadRegistrada[Muestra],0))</f>
        <v/>
      </c>
      <c r="D152" s="6">
        <f>INDEX(tblCalidadRegistrada[Tratamiento],MATCH(tblCalidadCalculada[[#This Row],[Muestra]],tblCalidadRegistrada[Muestra],0))</f>
        <v/>
      </c>
      <c r="E152" s="6">
        <f>INDEX(tblCalidadRegistrada[Bloque],MATCH(tblCalidadCalculada[[#This Row],[Muestra]],tblCalidadRegistrada[Muestra],0))</f>
        <v/>
      </c>
      <c r="F152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52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52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52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52" s="6">
        <f>INDEX(tblCalidadRegistrada[Estado de la medición],MATCH(tblCalidadCalculada[[#This Row],[Muestra]],tblCalidadRegistrada[Muestra],0))</f>
        <v/>
      </c>
      <c r="K152" s="6">
        <f>INDEX(tblCalidadRegistrada[Origen del dato],MATCH(tblCalidadCalculada[[#This Row],[Muestra]],tblCalidadRegistrada[Muestra],0))</f>
        <v/>
      </c>
      <c r="L152" s="14">
        <f>INDEX(tblMSCalculada[Biomasa informada en el libro histórico (kg MS/ha)],MATCH(tblCalidadCalculada[[#This Row],[Muestra]],tblMSCalculada[Muestra],0))</f>
        <v/>
      </c>
      <c r="M152" s="14">
        <f>IF(tblCalidadCalculada[[#This Row],[Nitrógeno medido (%)]]="",tblCalidadCalculada[[#This Row],[Nitrógeno estimado (%)]],tblCalidadCalculada[[#This Row],[Nitrógeno medido (%)]])</f>
        <v/>
      </c>
      <c r="N152" s="14">
        <f>IF(tblCalidadCalculada[[#This Row],[Estado de la medición]]="estimated",INDEX(tblCalidadFaltante[Nitrógeno estimado (%)],MATCH(tblCalidadCalculada[[#This Row],[Muestra]],tblCalidadFaltante[Muestra],0)),"")</f>
        <v/>
      </c>
      <c r="O152" s="14">
        <f>IF(tblCalidadCalculada[[#This Row],[Estado de la medición]]="estimated",INDEX(tblCalidadFaltante[FDA estimada (%)],MATCH(tblCalidadCalculada[[#This Row],[Muestra]],tblCalidadFaltante[Muestra],0)),"")</f>
        <v/>
      </c>
      <c r="P152" s="14">
        <f>IF(tblCalidadCalculada[[#This Row],[Estado de la medición]]="estimated",INDEX(tblCalidadFaltante[FDN estimada (%)],MATCH(tblCalidadCalculada[[#This Row],[Muestra]],tblCalidadFaltante[Muestra],0)),"")</f>
        <v/>
      </c>
      <c r="Q152" s="14">
        <f>tblCalidadCalculada[[#This Row],[Biomasa informada enlazada (kg MS/ha)]]*tblCalidadCalculada[[#This Row],[Nitrógeno efectivo (%)]]/100</f>
        <v/>
      </c>
      <c r="R152" s="14">
        <f>4.8*(tblCalidadCalculada[[#This Row],[Biomasa informada enlazada (kg MS/ha)]]/1000)^(-0.32)</f>
        <v/>
      </c>
      <c r="S152" s="14">
        <f>tblCalidadCalculada[[#This Row],[Nitrógeno efectivo (%)]]/tblCalidadCalculada[[#This Row],[Concentración crítica de nitrógeno (%)]]</f>
        <v/>
      </c>
      <c r="T152" s="6" t="inlineStr">
        <is>
          <t>from_measured_quality</t>
        </is>
      </c>
    </row>
    <row r="153">
      <c r="A153" s="12" t="n">
        <v>149</v>
      </c>
      <c r="B153" s="13">
        <f>INDEX(tblCalidadRegistrada[Fecha],MATCH(tblCalidadCalculada[[#This Row],[Muestra]],tblCalidadRegistrada[Muestra],0))</f>
        <v/>
      </c>
      <c r="C153" s="6">
        <f>INDEX(tblCalidadRegistrada[Sector hídrico],MATCH(tblCalidadCalculada[[#This Row],[Muestra]],tblCalidadRegistrada[Muestra],0))</f>
        <v/>
      </c>
      <c r="D153" s="6">
        <f>INDEX(tblCalidadRegistrada[Tratamiento],MATCH(tblCalidadCalculada[[#This Row],[Muestra]],tblCalidadRegistrada[Muestra],0))</f>
        <v/>
      </c>
      <c r="E153" s="6">
        <f>INDEX(tblCalidadRegistrada[Bloque],MATCH(tblCalidadCalculada[[#This Row],[Muestra]],tblCalidadRegistrada[Muestra],0))</f>
        <v/>
      </c>
      <c r="F153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53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53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53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53" s="6">
        <f>INDEX(tblCalidadRegistrada[Estado de la medición],MATCH(tblCalidadCalculada[[#This Row],[Muestra]],tblCalidadRegistrada[Muestra],0))</f>
        <v/>
      </c>
      <c r="K153" s="6">
        <f>INDEX(tblCalidadRegistrada[Origen del dato],MATCH(tblCalidadCalculada[[#This Row],[Muestra]],tblCalidadRegistrada[Muestra],0))</f>
        <v/>
      </c>
      <c r="L153" s="14">
        <f>INDEX(tblMSCalculada[Biomasa informada en el libro histórico (kg MS/ha)],MATCH(tblCalidadCalculada[[#This Row],[Muestra]],tblMSCalculada[Muestra],0))</f>
        <v/>
      </c>
      <c r="M153" s="14">
        <f>IF(tblCalidadCalculada[[#This Row],[Nitrógeno medido (%)]]="",tblCalidadCalculada[[#This Row],[Nitrógeno estimado (%)]],tblCalidadCalculada[[#This Row],[Nitrógeno medido (%)]])</f>
        <v/>
      </c>
      <c r="N153" s="14">
        <f>IF(tblCalidadCalculada[[#This Row],[Estado de la medición]]="estimated",INDEX(tblCalidadFaltante[Nitrógeno estimado (%)],MATCH(tblCalidadCalculada[[#This Row],[Muestra]],tblCalidadFaltante[Muestra],0)),"")</f>
        <v/>
      </c>
      <c r="O153" s="14">
        <f>IF(tblCalidadCalculada[[#This Row],[Estado de la medición]]="estimated",INDEX(tblCalidadFaltante[FDA estimada (%)],MATCH(tblCalidadCalculada[[#This Row],[Muestra]],tblCalidadFaltante[Muestra],0)),"")</f>
        <v/>
      </c>
      <c r="P153" s="14">
        <f>IF(tblCalidadCalculada[[#This Row],[Estado de la medición]]="estimated",INDEX(tblCalidadFaltante[FDN estimada (%)],MATCH(tblCalidadCalculada[[#This Row],[Muestra]],tblCalidadFaltante[Muestra],0)),"")</f>
        <v/>
      </c>
      <c r="Q153" s="14">
        <f>tblCalidadCalculada[[#This Row],[Biomasa informada enlazada (kg MS/ha)]]*tblCalidadCalculada[[#This Row],[Nitrógeno efectivo (%)]]/100</f>
        <v/>
      </c>
      <c r="R153" s="14">
        <f>4.8*(tblCalidadCalculada[[#This Row],[Biomasa informada enlazada (kg MS/ha)]]/1000)^(-0.32)</f>
        <v/>
      </c>
      <c r="S153" s="14">
        <f>tblCalidadCalculada[[#This Row],[Nitrógeno efectivo (%)]]/tblCalidadCalculada[[#This Row],[Concentración crítica de nitrógeno (%)]]</f>
        <v/>
      </c>
      <c r="T153" s="6" t="inlineStr">
        <is>
          <t>from_measured_quality</t>
        </is>
      </c>
    </row>
    <row r="154">
      <c r="A154" s="12" t="n">
        <v>150</v>
      </c>
      <c r="B154" s="13">
        <f>INDEX(tblCalidadRegistrada[Fecha],MATCH(tblCalidadCalculada[[#This Row],[Muestra]],tblCalidadRegistrada[Muestra],0))</f>
        <v/>
      </c>
      <c r="C154" s="6">
        <f>INDEX(tblCalidadRegistrada[Sector hídrico],MATCH(tblCalidadCalculada[[#This Row],[Muestra]],tblCalidadRegistrada[Muestra],0))</f>
        <v/>
      </c>
      <c r="D154" s="6">
        <f>INDEX(tblCalidadRegistrada[Tratamiento],MATCH(tblCalidadCalculada[[#This Row],[Muestra]],tblCalidadRegistrada[Muestra],0))</f>
        <v/>
      </c>
      <c r="E154" s="6">
        <f>INDEX(tblCalidadRegistrada[Bloque],MATCH(tblCalidadCalculada[[#This Row],[Muestra]],tblCalidadRegistrada[Muestra],0))</f>
        <v/>
      </c>
      <c r="F154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54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54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54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54" s="6">
        <f>INDEX(tblCalidadRegistrada[Estado de la medición],MATCH(tblCalidadCalculada[[#This Row],[Muestra]],tblCalidadRegistrada[Muestra],0))</f>
        <v/>
      </c>
      <c r="K154" s="6">
        <f>INDEX(tblCalidadRegistrada[Origen del dato],MATCH(tblCalidadCalculada[[#This Row],[Muestra]],tblCalidadRegistrada[Muestra],0))</f>
        <v/>
      </c>
      <c r="L154" s="14">
        <f>INDEX(tblMSCalculada[Biomasa informada en el libro histórico (kg MS/ha)],MATCH(tblCalidadCalculada[[#This Row],[Muestra]],tblMSCalculada[Muestra],0))</f>
        <v/>
      </c>
      <c r="M154" s="14">
        <f>IF(tblCalidadCalculada[[#This Row],[Nitrógeno medido (%)]]="",tblCalidadCalculada[[#This Row],[Nitrógeno estimado (%)]],tblCalidadCalculada[[#This Row],[Nitrógeno medido (%)]])</f>
        <v/>
      </c>
      <c r="N154" s="14">
        <f>IF(tblCalidadCalculada[[#This Row],[Estado de la medición]]="estimated",INDEX(tblCalidadFaltante[Nitrógeno estimado (%)],MATCH(tblCalidadCalculada[[#This Row],[Muestra]],tblCalidadFaltante[Muestra],0)),"")</f>
        <v/>
      </c>
      <c r="O154" s="14">
        <f>IF(tblCalidadCalculada[[#This Row],[Estado de la medición]]="estimated",INDEX(tblCalidadFaltante[FDA estimada (%)],MATCH(tblCalidadCalculada[[#This Row],[Muestra]],tblCalidadFaltante[Muestra],0)),"")</f>
        <v/>
      </c>
      <c r="P154" s="14">
        <f>IF(tblCalidadCalculada[[#This Row],[Estado de la medición]]="estimated",INDEX(tblCalidadFaltante[FDN estimada (%)],MATCH(tblCalidadCalculada[[#This Row],[Muestra]],tblCalidadFaltante[Muestra],0)),"")</f>
        <v/>
      </c>
      <c r="Q154" s="14">
        <f>tblCalidadCalculada[[#This Row],[Biomasa informada enlazada (kg MS/ha)]]*tblCalidadCalculada[[#This Row],[Nitrógeno efectivo (%)]]/100</f>
        <v/>
      </c>
      <c r="R154" s="14">
        <f>4.8*(tblCalidadCalculada[[#This Row],[Biomasa informada enlazada (kg MS/ha)]]/1000)^(-0.32)</f>
        <v/>
      </c>
      <c r="S154" s="14">
        <f>tblCalidadCalculada[[#This Row],[Nitrógeno efectivo (%)]]/tblCalidadCalculada[[#This Row],[Concentración crítica de nitrógeno (%)]]</f>
        <v/>
      </c>
      <c r="T154" s="6" t="inlineStr">
        <is>
          <t>from_measured_quality</t>
        </is>
      </c>
    </row>
    <row r="155">
      <c r="A155" s="12" t="n">
        <v>151</v>
      </c>
      <c r="B155" s="13">
        <f>INDEX(tblCalidadRegistrada[Fecha],MATCH(tblCalidadCalculada[[#This Row],[Muestra]],tblCalidadRegistrada[Muestra],0))</f>
        <v/>
      </c>
      <c r="C155" s="6">
        <f>INDEX(tblCalidadRegistrada[Sector hídrico],MATCH(tblCalidadCalculada[[#This Row],[Muestra]],tblCalidadRegistrada[Muestra],0))</f>
        <v/>
      </c>
      <c r="D155" s="6">
        <f>INDEX(tblCalidadRegistrada[Tratamiento],MATCH(tblCalidadCalculada[[#This Row],[Muestra]],tblCalidadRegistrada[Muestra],0))</f>
        <v/>
      </c>
      <c r="E155" s="6">
        <f>INDEX(tblCalidadRegistrada[Bloque],MATCH(tblCalidadCalculada[[#This Row],[Muestra]],tblCalidadRegistrada[Muestra],0))</f>
        <v/>
      </c>
      <c r="F155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55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55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55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55" s="6">
        <f>INDEX(tblCalidadRegistrada[Estado de la medición],MATCH(tblCalidadCalculada[[#This Row],[Muestra]],tblCalidadRegistrada[Muestra],0))</f>
        <v/>
      </c>
      <c r="K155" s="6">
        <f>INDEX(tblCalidadRegistrada[Origen del dato],MATCH(tblCalidadCalculada[[#This Row],[Muestra]],tblCalidadRegistrada[Muestra],0))</f>
        <v/>
      </c>
      <c r="L155" s="14">
        <f>INDEX(tblMSCalculada[Biomasa informada en el libro histórico (kg MS/ha)],MATCH(tblCalidadCalculada[[#This Row],[Muestra]],tblMSCalculada[Muestra],0))</f>
        <v/>
      </c>
      <c r="M155" s="14">
        <f>IF(tblCalidadCalculada[[#This Row],[Nitrógeno medido (%)]]="",tblCalidadCalculada[[#This Row],[Nitrógeno estimado (%)]],tblCalidadCalculada[[#This Row],[Nitrógeno medido (%)]])</f>
        <v/>
      </c>
      <c r="N155" s="14">
        <f>IF(tblCalidadCalculada[[#This Row],[Estado de la medición]]="estimated",INDEX(tblCalidadFaltante[Nitrógeno estimado (%)],MATCH(tblCalidadCalculada[[#This Row],[Muestra]],tblCalidadFaltante[Muestra],0)),"")</f>
        <v/>
      </c>
      <c r="O155" s="14">
        <f>IF(tblCalidadCalculada[[#This Row],[Estado de la medición]]="estimated",INDEX(tblCalidadFaltante[FDA estimada (%)],MATCH(tblCalidadCalculada[[#This Row],[Muestra]],tblCalidadFaltante[Muestra],0)),"")</f>
        <v/>
      </c>
      <c r="P155" s="14">
        <f>IF(tblCalidadCalculada[[#This Row],[Estado de la medición]]="estimated",INDEX(tblCalidadFaltante[FDN estimada (%)],MATCH(tblCalidadCalculada[[#This Row],[Muestra]],tblCalidadFaltante[Muestra],0)),"")</f>
        <v/>
      </c>
      <c r="Q155" s="14">
        <f>tblCalidadCalculada[[#This Row],[Biomasa informada enlazada (kg MS/ha)]]*tblCalidadCalculada[[#This Row],[Nitrógeno efectivo (%)]]/100</f>
        <v/>
      </c>
      <c r="R155" s="14">
        <f>4.8*(tblCalidadCalculada[[#This Row],[Biomasa informada enlazada (kg MS/ha)]]/1000)^(-0.32)</f>
        <v/>
      </c>
      <c r="S155" s="14">
        <f>tblCalidadCalculada[[#This Row],[Nitrógeno efectivo (%)]]/tblCalidadCalculada[[#This Row],[Concentración crítica de nitrógeno (%)]]</f>
        <v/>
      </c>
      <c r="T155" s="6" t="inlineStr">
        <is>
          <t>from_measured_quality</t>
        </is>
      </c>
    </row>
    <row r="156">
      <c r="A156" s="12" t="n">
        <v>152</v>
      </c>
      <c r="B156" s="13">
        <f>INDEX(tblCalidadRegistrada[Fecha],MATCH(tblCalidadCalculada[[#This Row],[Muestra]],tblCalidadRegistrada[Muestra],0))</f>
        <v/>
      </c>
      <c r="C156" s="6">
        <f>INDEX(tblCalidadRegistrada[Sector hídrico],MATCH(tblCalidadCalculada[[#This Row],[Muestra]],tblCalidadRegistrada[Muestra],0))</f>
        <v/>
      </c>
      <c r="D156" s="6">
        <f>INDEX(tblCalidadRegistrada[Tratamiento],MATCH(tblCalidadCalculada[[#This Row],[Muestra]],tblCalidadRegistrada[Muestra],0))</f>
        <v/>
      </c>
      <c r="E156" s="6">
        <f>INDEX(tblCalidadRegistrada[Bloque],MATCH(tblCalidadCalculada[[#This Row],[Muestra]],tblCalidadRegistrada[Muestra],0))</f>
        <v/>
      </c>
      <c r="F156" s="12">
        <f>IF(COUNTIFS(tblCalidadRegistrada[Muestra],tblCalidadCalculada[[#This Row],[Muestra]],tblCalidadRegistrada[Registro de laboratorio],"&lt;&gt;")=0,"",INDEX(tblCalidadRegistrada[Registro de laboratorio],MATCH(tblCalidadCalculada[[#This Row],[Muestra]],tblCalidadRegistrada[Muestra],0)))</f>
        <v/>
      </c>
      <c r="G156" s="14">
        <f>IF(COUNTIFS(tblCalidadRegistrada[Muestra],tblCalidadCalculada[[#This Row],[Muestra]],tblCalidadRegistrada[Nitrógeno medido (%)],"&lt;&gt;")=0,"",INDEX(tblCalidadRegistrada[Nitrógeno medido (%)],MATCH(tblCalidadCalculada[[#This Row],[Muestra]],tblCalidadRegistrada[Muestra],0)))</f>
        <v/>
      </c>
      <c r="H156" s="14">
        <f>IF(COUNTIFS(tblCalidadRegistrada[Muestra],tblCalidadCalculada[[#This Row],[Muestra]],tblCalidadRegistrada[Fibra detergente ácido medida (%)],"&lt;&gt;")=0,"",INDEX(tblCalidadRegistrada[Fibra detergente ácido medida (%)],MATCH(tblCalidadCalculada[[#This Row],[Muestra]],tblCalidadRegistrada[Muestra],0)))</f>
        <v/>
      </c>
      <c r="I156" s="14">
        <f>IF(COUNTIFS(tblCalidadRegistrada[Muestra],tblCalidadCalculada[[#This Row],[Muestra]],tblCalidadRegistrada[Fibra detergente neutro medida (%)],"&lt;&gt;")=0,"",INDEX(tblCalidadRegistrada[Fibra detergente neutro medida (%)],MATCH(tblCalidadCalculada[[#This Row],[Muestra]],tblCalidadRegistrada[Muestra],0)))</f>
        <v/>
      </c>
      <c r="J156" s="6">
        <f>INDEX(tblCalidadRegistrada[Estado de la medición],MATCH(tblCalidadCalculada[[#This Row],[Muestra]],tblCalidadRegistrada[Muestra],0))</f>
        <v/>
      </c>
      <c r="K156" s="6">
        <f>INDEX(tblCalidadRegistrada[Origen del dato],MATCH(tblCalidadCalculada[[#This Row],[Muestra]],tblCalidadRegistrada[Muestra],0))</f>
        <v/>
      </c>
      <c r="L156" s="14">
        <f>INDEX(tblMSCalculada[Biomasa informada en el libro histórico (kg MS/ha)],MATCH(tblCalidadCalculada[[#This Row],[Muestra]],tblMSCalculada[Muestra],0))</f>
        <v/>
      </c>
      <c r="M156" s="14">
        <f>IF(tblCalidadCalculada[[#This Row],[Nitrógeno medido (%)]]="",tblCalidadCalculada[[#This Row],[Nitrógeno estimado (%)]],tblCalidadCalculada[[#This Row],[Nitrógeno medido (%)]])</f>
        <v/>
      </c>
      <c r="N156" s="14">
        <f>IF(tblCalidadCalculada[[#This Row],[Estado de la medición]]="estimated",INDEX(tblCalidadFaltante[Nitrógeno estimado (%)],MATCH(tblCalidadCalculada[[#This Row],[Muestra]],tblCalidadFaltante[Muestra],0)),"")</f>
        <v/>
      </c>
      <c r="O156" s="14">
        <f>IF(tblCalidadCalculada[[#This Row],[Estado de la medición]]="estimated",INDEX(tblCalidadFaltante[FDA estimada (%)],MATCH(tblCalidadCalculada[[#This Row],[Muestra]],tblCalidadFaltante[Muestra],0)),"")</f>
        <v/>
      </c>
      <c r="P156" s="14">
        <f>IF(tblCalidadCalculada[[#This Row],[Estado de la medición]]="estimated",INDEX(tblCalidadFaltante[FDN estimada (%)],MATCH(tblCalidadCalculada[[#This Row],[Muestra]],tblCalidadFaltante[Muestra],0)),"")</f>
        <v/>
      </c>
      <c r="Q156" s="14">
        <f>tblCalidadCalculada[[#This Row],[Biomasa informada enlazada (kg MS/ha)]]*tblCalidadCalculada[[#This Row],[Nitrógeno efectivo (%)]]/100</f>
        <v/>
      </c>
      <c r="R156" s="14">
        <f>4.8*(tblCalidadCalculada[[#This Row],[Biomasa informada enlazada (kg MS/ha)]]/1000)^(-0.32)</f>
        <v/>
      </c>
      <c r="S156" s="14">
        <f>tblCalidadCalculada[[#This Row],[Nitrógeno efectivo (%)]]/tblCalidadCalculada[[#This Row],[Concentración crítica de nitrógeno (%)]]</f>
        <v/>
      </c>
      <c r="T156" s="6" t="inlineStr">
        <is>
          <t>from_measured_quality</t>
        </is>
      </c>
    </row>
  </sheetData>
  <conditionalFormatting sqref="A5:T156">
    <cfRule type="expression" priority="1" dxfId="1">
      <formula>$J5="estimated"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1" customWidth="1" min="2" max="2"/>
    <col width="16" customWidth="1" min="3" max="3"/>
    <col width="13" customWidth="1" min="4" max="4"/>
    <col width="11" customWidth="1" min="5" max="5"/>
    <col width="20" customWidth="1" min="6" max="6"/>
    <col width="24" customWidth="1" min="7" max="7"/>
    <col width="19" customWidth="1" min="8" max="8"/>
    <col width="27" customWidth="1" min="9" max="9"/>
    <col width="32" customWidth="1" min="10" max="10"/>
    <col width="24" customWidth="1" min="11" max="11"/>
    <col width="24" customWidth="1" min="12" max="12"/>
    <col width="29" customWidth="1" min="13" max="13"/>
    <col width="34" customWidth="1" min="14" max="14"/>
    <col width="26" customWidth="1" min="15" max="15"/>
    <col width="18" customWidth="1" min="16" max="16"/>
    <col width="29" customWidth="1" min="17" max="17"/>
    <col width="34" customWidth="1" min="18" max="18"/>
    <col width="26" customWidth="1" min="19" max="19"/>
    <col width="18" customWidth="1" min="20" max="20"/>
    <col width="40" customWidth="1" min="21" max="21"/>
    <col width="40" customWidth="1" min="22" max="22"/>
    <col width="42" customWidth="1" min="23" max="23"/>
  </cols>
  <sheetData>
    <row r="1" ht="25" customHeight="1">
      <c r="A1" s="15" t="inlineStr">
        <is>
          <t>Calidad faltante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ht="31" customHeight="1">
      <c r="A2" s="17" t="inlineStr">
        <is>
          <t>Una fila para la muestra de calidad estimada por DBCA. Origen canónico: missing_quality_estimate.csv. Rol: calculado.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</row>
    <row r="4" ht="38" customHeight="1">
      <c r="A4" s="19" t="inlineStr">
        <is>
          <t>Muestra</t>
        </is>
      </c>
      <c r="B4" s="19" t="inlineStr">
        <is>
          <t>Fecha</t>
        </is>
      </c>
      <c r="C4" s="19" t="inlineStr">
        <is>
          <t>Sector hídrico</t>
        </is>
      </c>
      <c r="D4" s="19" t="inlineStr">
        <is>
          <t>Tratamiento</t>
        </is>
      </c>
      <c r="E4" s="19" t="inlineStr">
        <is>
          <t>Bloque</t>
        </is>
      </c>
      <c r="F4" s="19" t="inlineStr">
        <is>
          <t>Biomasa (kg MS/ha)</t>
        </is>
      </c>
      <c r="G4" s="19" t="inlineStr">
        <is>
          <t>Número de tratamientos</t>
        </is>
      </c>
      <c r="H4" s="19" t="inlineStr">
        <is>
          <t>Número de bloques</t>
        </is>
      </c>
      <c r="I4" s="19" t="inlineStr">
        <is>
          <t>Total de N del bloque (%)</t>
        </is>
      </c>
      <c r="J4" s="19" t="inlineStr">
        <is>
          <t>Total de N del tratamiento (%)</t>
        </is>
      </c>
      <c r="K4" s="19" t="inlineStr">
        <is>
          <t>Total general de N (%)</t>
        </is>
      </c>
      <c r="L4" s="19" t="inlineStr">
        <is>
          <t>Nitrógeno estimado (%)</t>
        </is>
      </c>
      <c r="M4" s="19" t="inlineStr">
        <is>
          <t>Total de FDA del bloque (%)</t>
        </is>
      </c>
      <c r="N4" s="19" t="inlineStr">
        <is>
          <t>Total de FDA del tratamiento (%)</t>
        </is>
      </c>
      <c r="O4" s="19" t="inlineStr">
        <is>
          <t>Total general de FDA (%)</t>
        </is>
      </c>
      <c r="P4" s="19" t="inlineStr">
        <is>
          <t>FDA estimada (%)</t>
        </is>
      </c>
      <c r="Q4" s="19" t="inlineStr">
        <is>
          <t>Total de FDN del bloque (%)</t>
        </is>
      </c>
      <c r="R4" s="19" t="inlineStr">
        <is>
          <t>Total de FDN del tratamiento (%)</t>
        </is>
      </c>
      <c r="S4" s="19" t="inlineStr">
        <is>
          <t>Total general de FDN (%)</t>
        </is>
      </c>
      <c r="T4" s="19" t="inlineStr">
        <is>
          <t>FDN estimada (%)</t>
        </is>
      </c>
      <c r="U4" s="19" t="inlineStr">
        <is>
          <t>Nitrógeno acumulado estimado (kg N/ha)</t>
        </is>
      </c>
      <c r="V4" s="19" t="inlineStr">
        <is>
          <t>Concentración crítica de nitrógeno (%)</t>
        </is>
      </c>
      <c r="W4" s="19" t="inlineStr">
        <is>
          <t>Índice de nutrición nitrogenada (proporción)</t>
        </is>
      </c>
    </row>
    <row r="5">
      <c r="A5" s="12" t="n">
        <v>27</v>
      </c>
      <c r="B5" s="13" t="n">
        <v>45916</v>
      </c>
      <c r="C5" s="6" t="inlineStr">
        <is>
          <t>Secano</t>
        </is>
      </c>
      <c r="D5" s="6" t="inlineStr">
        <is>
          <t>M1</t>
        </is>
      </c>
      <c r="E5" s="6" t="inlineStr">
        <is>
          <t>R4</t>
        </is>
      </c>
      <c r="F5" s="14" t="n">
        <v>7037</v>
      </c>
      <c r="G5" s="12" t="n">
        <v>6</v>
      </c>
      <c r="H5" s="12" t="n">
        <v>4</v>
      </c>
      <c r="I5" s="14" t="n">
        <v>9.877137883879165</v>
      </c>
      <c r="J5" s="14" t="n">
        <v>7.004185886955215</v>
      </c>
      <c r="K5" s="14" t="n">
        <v>44.24684355785145</v>
      </c>
      <c r="L5" s="14">
        <f>(tblCalidadFaltante[[#This Row],[Número de tratamientos]]*tblCalidadFaltante[[#This Row],[Total de N del bloque (%)]]+tblCalidadFaltante[[#This Row],[Número de bloques]]*tblCalidadFaltante[[#This Row],[Total de N del tratamiento (%)]]-tblCalidadFaltante[[#This Row],[Total general de N (%)]])/((tblCalidadFaltante[[#This Row],[Número de tratamientos]]-1)*(tblCalidadFaltante[[#This Row],[Número de bloques]]-1))</f>
        <v/>
      </c>
      <c r="M5" s="14" t="n">
        <v>155.3693875419229</v>
      </c>
      <c r="N5" s="14" t="n">
        <v>95.10448106336489</v>
      </c>
      <c r="O5" s="14" t="n">
        <v>700.9906740291638</v>
      </c>
      <c r="P5" s="14">
        <f>(tblCalidadFaltante[[#This Row],[Número de tratamientos]]*tblCalidadFaltante[[#This Row],[Total de FDA del bloque (%)]]+tblCalidadFaltante[[#This Row],[Número de bloques]]*tblCalidadFaltante[[#This Row],[Total de FDA del tratamiento (%)]]-tblCalidadFaltante[[#This Row],[Total general de FDA (%)]])/((tblCalidadFaltante[[#This Row],[Número de tratamientos]]-1)*(tblCalidadFaltante[[#This Row],[Número de bloques]]-1))</f>
        <v/>
      </c>
      <c r="Q5" s="14" t="n">
        <v>270.8308806764854</v>
      </c>
      <c r="R5" s="14" t="n">
        <v>161.6197253380857</v>
      </c>
      <c r="S5" s="14" t="n">
        <v>1227.807881877934</v>
      </c>
      <c r="T5" s="14">
        <f>(tblCalidadFaltante[[#This Row],[Número de tratamientos]]*tblCalidadFaltante[[#This Row],[Total de FDN del bloque (%)]]+tblCalidadFaltante[[#This Row],[Número de bloques]]*tblCalidadFaltante[[#This Row],[Total de FDN del tratamiento (%)]]-tblCalidadFaltante[[#This Row],[Total general de FDN (%)]])/((tblCalidadFaltante[[#This Row],[Número de tratamientos]]-1)*(tblCalidadFaltante[[#This Row],[Número de bloques]]-1))</f>
        <v/>
      </c>
      <c r="U5" s="14">
        <f>tblCalidadFaltante[[#This Row],[Biomasa (kg MS/ha)]]*tblCalidadFaltante[[#This Row],[Nitrógeno estimado (%)]]/100</f>
        <v/>
      </c>
      <c r="V5" s="14">
        <f>4.8*(tblCalidadFaltante[[#This Row],[Biomasa (kg MS/ha)]]/1000)^(-0.32)</f>
        <v/>
      </c>
      <c r="W5" s="14">
        <f>tblCalidadFaltante[[#This Row],[Nitrógeno estimado (%)]]/tblCalidadFaltante[[#This Row],[Concentración crítica de nitrógeno (%)]]</f>
        <v/>
      </c>
    </row>
  </sheetData>
  <conditionalFormatting sqref="A5:W5">
    <cfRule type="expression" priority="1" dxfId="1">
      <formula>TRUE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festuca-rebuild-workbook</dc:creator>
  <dc:title>Datos canónicos del ensayo de festuca</dc:title>
  <dc:subject>Artefacto derivado de data/</dc:subject>
  <dcterms:created xsi:type="dcterms:W3CDTF">2025-01-01T00:00:00Z</dcterms:created>
  <dcterms:modified xsi:type="dcterms:W3CDTF">2026-08-10T12:53:39Z</dcterms:modified>
</cp:coreProperties>
</file>